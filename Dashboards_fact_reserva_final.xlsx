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15a56187b1ba73/Desktop/BI/Proyecto 1/ETL_hotel/ETL/Output/"/>
    </mc:Choice>
  </mc:AlternateContent>
  <xr:revisionPtr revIDLastSave="2" documentId="8_{6E358533-3073-4E8D-95D2-21C06880B8E7}" xr6:coauthVersionLast="47" xr6:coauthVersionMax="47" xr10:uidLastSave="{C7327FB4-6A80-496B-8171-D59065A08A2D}"/>
  <bookViews>
    <workbookView xWindow="-108" yWindow="-108" windowWidth="23256" windowHeight="12456" activeTab="1" xr2:uid="{B1B081C0-AA61-440D-9CBA-9B7C724A6EB1}"/>
  </bookViews>
  <sheets>
    <sheet name="fact_reserva" sheetId="2" r:id="rId1"/>
    <sheet name="Dashboards" sheetId="6" r:id="rId2"/>
  </sheets>
  <definedNames>
    <definedName name="DatosExternos_1" localSheetId="0" hidden="1">fact_reserva!$A$1:$AA$901</definedName>
  </definedNames>
  <calcPr calcId="191029"/>
  <pivotCaches>
    <pivotCache cacheId="13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2" i="2" l="1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D87" i="6"/>
  <c r="D88" i="6"/>
  <c r="D89" i="6"/>
  <c r="D90" i="6"/>
  <c r="D86" i="6"/>
  <c r="D70" i="6"/>
  <c r="D71" i="6"/>
  <c r="D72" i="6"/>
  <c r="D73" i="6"/>
  <c r="D69" i="6"/>
  <c r="D55" i="6"/>
  <c r="D56" i="6"/>
  <c r="D57" i="6"/>
  <c r="D58" i="6"/>
  <c r="D59" i="6"/>
  <c r="D60" i="6"/>
  <c r="D61" i="6"/>
  <c r="D54" i="6"/>
  <c r="I45" i="6"/>
  <c r="I44" i="6"/>
  <c r="I43" i="6"/>
  <c r="I42" i="6"/>
  <c r="I41" i="6"/>
  <c r="I40" i="6"/>
  <c r="I39" i="6"/>
  <c r="I38" i="6"/>
  <c r="D39" i="6"/>
  <c r="D40" i="6"/>
  <c r="D41" i="6"/>
  <c r="D42" i="6"/>
  <c r="D43" i="6"/>
  <c r="D44" i="6"/>
  <c r="D45" i="6"/>
  <c r="D38" i="6"/>
  <c r="B105" i="6" l="1"/>
  <c r="B104" i="6"/>
  <c r="B103" i="6"/>
  <c r="B106" i="6"/>
  <c r="B10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F3D118-7FB7-46D6-B3F6-A63917DF1FBE}" keepAlive="1" name="Consulta - fact_reserva" description="Conexión a la consulta 'fact_reserva' en el libro." type="5" refreshedVersion="8" background="1" saveData="1">
    <dbPr connection="Provider=Microsoft.Mashup.OleDb.1;Data Source=$Workbook$;Location=fact_reserva;Extended Properties=&quot;&quot;" command="SELECT * FROM [fact_reserva]"/>
  </connection>
</connections>
</file>

<file path=xl/sharedStrings.xml><?xml version="1.0" encoding="utf-8"?>
<sst xmlns="http://schemas.openxmlformats.org/spreadsheetml/2006/main" count="11642" uniqueCount="3149">
  <si>
    <t>sk_fact_reserva</t>
  </si>
  <si>
    <t>id_reserva</t>
  </si>
  <si>
    <t>codigo_reserva</t>
  </si>
  <si>
    <t>sk_fecha</t>
  </si>
  <si>
    <t>sk_propiedad</t>
  </si>
  <si>
    <t>sk_huesped</t>
  </si>
  <si>
    <t>sk_habitacion</t>
  </si>
  <si>
    <t>sk_canal</t>
  </si>
  <si>
    <t>sk_estado</t>
  </si>
  <si>
    <t>sk_metodo_pago</t>
  </si>
  <si>
    <t>monto_pago_limpio</t>
  </si>
  <si>
    <t>adultos</t>
  </si>
  <si>
    <t>ninos</t>
  </si>
  <si>
    <t>infantes</t>
  </si>
  <si>
    <t>noches_estadia</t>
  </si>
  <si>
    <t>cantidad_huespedes</t>
  </si>
  <si>
    <t>flag_cancelada</t>
  </si>
  <si>
    <t>flag_noshow</t>
  </si>
  <si>
    <t>flag_completada</t>
  </si>
  <si>
    <t>flag_ocupada</t>
  </si>
  <si>
    <t>ingreso_total</t>
  </si>
  <si>
    <t>ingreso_servicios</t>
  </si>
  <si>
    <t>ingreso_habitacion</t>
  </si>
  <si>
    <t>habitaciones_disponibles</t>
  </si>
  <si>
    <t>habitaciones_ocupadas</t>
  </si>
  <si>
    <t>antelacion_reserva_dias</t>
  </si>
  <si>
    <t>Row0_Row595_Row1_Row242_Row133_Row0_Row2_Row5</t>
  </si>
  <si>
    <t>RES000001</t>
  </si>
  <si>
    <t>Row1475</t>
  </si>
  <si>
    <t>Row2</t>
  </si>
  <si>
    <t>Row1352</t>
  </si>
  <si>
    <t>Row1355</t>
  </si>
  <si>
    <t>Row0</t>
  </si>
  <si>
    <t>Row1350</t>
  </si>
  <si>
    <t>0</t>
  </si>
  <si>
    <t>135.6</t>
  </si>
  <si>
    <t>Row1_Row531_Row3_Row269_Row132_Row2_Row2_Row5</t>
  </si>
  <si>
    <t>RES000002</t>
  </si>
  <si>
    <t>Row1388</t>
  </si>
  <si>
    <t>Row7</t>
  </si>
  <si>
    <t>Row1354</t>
  </si>
  <si>
    <t>Row3</t>
  </si>
  <si>
    <t>220.35</t>
  </si>
  <si>
    <t>Row2_Row581_Row2_Row281_Row151_Row6_Row2_Row5</t>
  </si>
  <si>
    <t>RES000003</t>
  </si>
  <si>
    <t>Row1451</t>
  </si>
  <si>
    <t>Row1407</t>
  </si>
  <si>
    <t>Row1386</t>
  </si>
  <si>
    <t>Row35</t>
  </si>
  <si>
    <t>316.4</t>
  </si>
  <si>
    <t>Row3_Row533_Row0_Row275_Row147_Row5_Row3_Row5</t>
  </si>
  <si>
    <t>RES000004</t>
  </si>
  <si>
    <t>Row1390</t>
  </si>
  <si>
    <t>Row1398</t>
  </si>
  <si>
    <t>Row1373</t>
  </si>
  <si>
    <t>Row34</t>
  </si>
  <si>
    <t>Row1351</t>
  </si>
  <si>
    <t>423.75</t>
  </si>
  <si>
    <t>Row4_Row197_Row1_Row42_Row70_Row4_Row1_Row1</t>
  </si>
  <si>
    <t>RES000005</t>
  </si>
  <si>
    <t>Row402</t>
  </si>
  <si>
    <t>Row95</t>
  </si>
  <si>
    <t>Row167</t>
  </si>
  <si>
    <t>Row20</t>
  </si>
  <si>
    <t>Row87</t>
  </si>
  <si>
    <t>163.62</t>
  </si>
  <si>
    <t>409.06</t>
  </si>
  <si>
    <t>22.6</t>
  </si>
  <si>
    <t>386.46</t>
  </si>
  <si>
    <t>Row5_Row178_Row3_Row188_Row74_Row3_Row1_Row4</t>
  </si>
  <si>
    <t>RES000006</t>
  </si>
  <si>
    <t>Row353</t>
  </si>
  <si>
    <t>Row522</t>
  </si>
  <si>
    <t>Row178</t>
  </si>
  <si>
    <t>Row4</t>
  </si>
  <si>
    <t>Row9</t>
  </si>
  <si>
    <t>51.35</t>
  </si>
  <si>
    <t>128.37</t>
  </si>
  <si>
    <t>54.92</t>
  </si>
  <si>
    <t>73.45</t>
  </si>
  <si>
    <t>Row6_Row244_Row2_Row38_Row50_Row1_Row0_Row4</t>
  </si>
  <si>
    <t>RES000007</t>
  </si>
  <si>
    <t>Row518</t>
  </si>
  <si>
    <t>Row89</t>
  </si>
  <si>
    <t>Row118</t>
  </si>
  <si>
    <t>865.58</t>
  </si>
  <si>
    <t>432.79</t>
  </si>
  <si>
    <t>274.59</t>
  </si>
  <si>
    <t>158.20000000000005</t>
  </si>
  <si>
    <t>Row7_Row226_Row0_Row122_Row94_Row0_Row0_Row2</t>
  </si>
  <si>
    <t>RES000008</t>
  </si>
  <si>
    <t>Row470</t>
  </si>
  <si>
    <t>Row269</t>
  </si>
  <si>
    <t>Row277</t>
  </si>
  <si>
    <t>1450.92</t>
  </si>
  <si>
    <t>483.64</t>
  </si>
  <si>
    <t>229.39000000000001</t>
  </si>
  <si>
    <t>254.24999999999997</t>
  </si>
  <si>
    <t>Row8_Row147_Row1_Row175_Row78_Row2_Row0_Row0</t>
  </si>
  <si>
    <t>RES000009</t>
  </si>
  <si>
    <t>Row289</t>
  </si>
  <si>
    <t>Row435</t>
  </si>
  <si>
    <t>Row198</t>
  </si>
  <si>
    <t>320.92</t>
  </si>
  <si>
    <t>76.84</t>
  </si>
  <si>
    <t>244.08</t>
  </si>
  <si>
    <t>Row9_Row47_Row3_Row43_Row42_Row6_Row0_Row3</t>
  </si>
  <si>
    <t>RES000010</t>
  </si>
  <si>
    <t>Row96</t>
  </si>
  <si>
    <t>858.24</t>
  </si>
  <si>
    <t>429.12</t>
  </si>
  <si>
    <t>80.22999999999999</t>
  </si>
  <si>
    <t>348.89</t>
  </si>
  <si>
    <t>Row10_Row318_Row2_Row179_Row65_Row5_Row0_Row1</t>
  </si>
  <si>
    <t>RES000011</t>
  </si>
  <si>
    <t>Row710</t>
  </si>
  <si>
    <t>Row459</t>
  </si>
  <si>
    <t>Row150</t>
  </si>
  <si>
    <t>2171.9700000000003</t>
  </si>
  <si>
    <t>723.99</t>
  </si>
  <si>
    <t>249.39000000000001</t>
  </si>
  <si>
    <t>474.6</t>
  </si>
  <si>
    <t>Row11_Row26_Row0_Row120_Row0_Row4_Row0_Row4</t>
  </si>
  <si>
    <t>RES000012</t>
  </si>
  <si>
    <t>Row56</t>
  </si>
  <si>
    <t>Row260</t>
  </si>
  <si>
    <t>132.21</t>
  </si>
  <si>
    <t>47.46</t>
  </si>
  <si>
    <t>84.75</t>
  </si>
  <si>
    <t>Row12_Row55_Row1_Row49_Row20_Row3_Row0_Row2</t>
  </si>
  <si>
    <t>RES000013</t>
  </si>
  <si>
    <t>Row114</t>
  </si>
  <si>
    <t>Row48</t>
  </si>
  <si>
    <t>833.26</t>
  </si>
  <si>
    <t>416.63</t>
  </si>
  <si>
    <t>281.03000000000003</t>
  </si>
  <si>
    <t>135.59999999999997</t>
  </si>
  <si>
    <t>Row13_Row192_Row3_Row210_Row68_Row1_Row0_Row0</t>
  </si>
  <si>
    <t>RES000014</t>
  </si>
  <si>
    <t>Row385</t>
  </si>
  <si>
    <t>Row618</t>
  </si>
  <si>
    <t>Row162</t>
  </si>
  <si>
    <t>1267.8600000000001</t>
  </si>
  <si>
    <t>422.62</t>
  </si>
  <si>
    <t>202.26999999999998</t>
  </si>
  <si>
    <t>220.35000000000002</t>
  </si>
  <si>
    <t>Row14_Row371_Row2_Row37_Row26_Row0_Row0_Row3</t>
  </si>
  <si>
    <t>RES000015</t>
  </si>
  <si>
    <t>Row876</t>
  </si>
  <si>
    <t>Row88</t>
  </si>
  <si>
    <t>Row65</t>
  </si>
  <si>
    <t>332.22</t>
  </si>
  <si>
    <t>63.28</t>
  </si>
  <si>
    <t>268.94000000000005</t>
  </si>
  <si>
    <t>Row15_Row436_Row0_Row239_Row9_Row2_Row0_Row1</t>
  </si>
  <si>
    <t>RES000016</t>
  </si>
  <si>
    <t>Row1093</t>
  </si>
  <si>
    <t>Row959</t>
  </si>
  <si>
    <t>Row23</t>
  </si>
  <si>
    <t>980.84</t>
  </si>
  <si>
    <t>490.42</t>
  </si>
  <si>
    <t>66.67</t>
  </si>
  <si>
    <t>Row16_Row67_Row1_Row124_Row98_Row6_Row0_Row4</t>
  </si>
  <si>
    <t>RES000017</t>
  </si>
  <si>
    <t>Row137</t>
  </si>
  <si>
    <t>Row274</t>
  </si>
  <si>
    <t>Row319</t>
  </si>
  <si>
    <t>2030.6100000000001</t>
  </si>
  <si>
    <t>676.87</t>
  </si>
  <si>
    <t>270.07</t>
  </si>
  <si>
    <t>406.8</t>
  </si>
  <si>
    <t>Row17_Row18_Row3_Row67_Row23_Row5_Row0_Row2</t>
  </si>
  <si>
    <t>RES000018</t>
  </si>
  <si>
    <t>Row39</t>
  </si>
  <si>
    <t>Row147</t>
  </si>
  <si>
    <t>Row59</t>
  </si>
  <si>
    <t>127.13</t>
  </si>
  <si>
    <t>61.02</t>
  </si>
  <si>
    <t>66.10999999999999</t>
  </si>
  <si>
    <t>Row18_Row35_Row2_Row32_Row30_Row4_Row0_Row0</t>
  </si>
  <si>
    <t>RES000019</t>
  </si>
  <si>
    <t>Row78</t>
  </si>
  <si>
    <t>847.96</t>
  </si>
  <si>
    <t>423.98</t>
  </si>
  <si>
    <t>265.78</t>
  </si>
  <si>
    <t>Row19_Row330_Row0_Row85_Row103_Row3_Row0_Row3</t>
  </si>
  <si>
    <t>RES000020</t>
  </si>
  <si>
    <t>Row737</t>
  </si>
  <si>
    <t>Row181</t>
  </si>
  <si>
    <t>Row351</t>
  </si>
  <si>
    <t>1386.3600000000001</t>
  </si>
  <si>
    <t>462.12</t>
  </si>
  <si>
    <t>220.58</t>
  </si>
  <si>
    <t>241.54</t>
  </si>
  <si>
    <t>Row20_Row552_Row1_Row262_Row157_Row1_Row2_Row5</t>
  </si>
  <si>
    <t>RES000021</t>
  </si>
  <si>
    <t>Row1410</t>
  </si>
  <si>
    <t>Row1376</t>
  </si>
  <si>
    <t>271.2</t>
  </si>
  <si>
    <t>Row21_Row548_Row3_Row295_Row141_Row0_Row2_Row5</t>
  </si>
  <si>
    <t>RES000022</t>
  </si>
  <si>
    <t>Row1406</t>
  </si>
  <si>
    <t>Row1442</t>
  </si>
  <si>
    <t>Row1364</t>
  </si>
  <si>
    <t>367.25</t>
  </si>
  <si>
    <t>Row22_Row561_Row2_Row297_Row152_Row2_Row2_Row5</t>
  </si>
  <si>
    <t>RES000023</t>
  </si>
  <si>
    <t>Row1422</t>
  </si>
  <si>
    <t>Row1389</t>
  </si>
  <si>
    <t>Row23_Row518_Row0_Row263_Row131_Row6_Row3_Row5</t>
  </si>
  <si>
    <t>RES000024</t>
  </si>
  <si>
    <t>Row1377</t>
  </si>
  <si>
    <t>Row1353</t>
  </si>
  <si>
    <t>Row24_Row86_Row1_Row235_Row108_Row5_Row1_Row4</t>
  </si>
  <si>
    <t>RES000025</t>
  </si>
  <si>
    <t>Row897</t>
  </si>
  <si>
    <t>Row372</t>
  </si>
  <si>
    <t>134.24</t>
  </si>
  <si>
    <t>335.61</t>
  </si>
  <si>
    <t>206.79</t>
  </si>
  <si>
    <t>128.82000000000002</t>
  </si>
  <si>
    <t>Row25_Row94_Row3_Row148_Row60_Row4_Row1_Row2</t>
  </si>
  <si>
    <t>RES000026</t>
  </si>
  <si>
    <t>Row144</t>
  </si>
  <si>
    <t>126.11</t>
  </si>
  <si>
    <t>315.27</t>
  </si>
  <si>
    <t>94.92</t>
  </si>
  <si>
    <t>220.34999999999997</t>
  </si>
  <si>
    <t>Row26_Row76_Row2_Row69_Row64_Row3_Row0_Row2</t>
  </si>
  <si>
    <t>RES000027</t>
  </si>
  <si>
    <t>Row149</t>
  </si>
  <si>
    <t>341.71</t>
  </si>
  <si>
    <t>56.95</t>
  </si>
  <si>
    <t>284.76</t>
  </si>
  <si>
    <t>Row27_Row470_Row0_Row158_Row32_Row1_Row0_Row0</t>
  </si>
  <si>
    <t>RES000028</t>
  </si>
  <si>
    <t>Row1249</t>
  </si>
  <si>
    <t>Row381</t>
  </si>
  <si>
    <t>Row82</t>
  </si>
  <si>
    <t>Row28_Row315_Row1_Row94_Row21_Row0_Row0_Row3</t>
  </si>
  <si>
    <t>RES000029</t>
  </si>
  <si>
    <t>Row702</t>
  </si>
  <si>
    <t>Row51</t>
  </si>
  <si>
    <t>Row29_Row120_Row3_Row108_Row5_Row2_Row0_Row1</t>
  </si>
  <si>
    <t>RES000030</t>
  </si>
  <si>
    <t>Row231</t>
  </si>
  <si>
    <t>123.45</t>
  </si>
  <si>
    <t>62.43</t>
  </si>
  <si>
    <t>Row30_Row211_Row2_Row172_Row100_Row6_Row0_Row4</t>
  </si>
  <si>
    <t>RES000031</t>
  </si>
  <si>
    <t>Row427</t>
  </si>
  <si>
    <t>Row332</t>
  </si>
  <si>
    <t>Row31_Row0_Row0_Row24_Row122_Row5_Row0_Row2</t>
  </si>
  <si>
    <t>RES000032</t>
  </si>
  <si>
    <t>Row555</t>
  </si>
  <si>
    <t>1431.6</t>
  </si>
  <si>
    <t>477.2</t>
  </si>
  <si>
    <t>222.95000000000002</t>
  </si>
  <si>
    <t>Row32_Row402_Row1_Row199_Row123_Row4_Row0_Row0</t>
  </si>
  <si>
    <t>RES000033</t>
  </si>
  <si>
    <t>Row972</t>
  </si>
  <si>
    <t>Row568</t>
  </si>
  <si>
    <t>Row559</t>
  </si>
  <si>
    <t>348.04</t>
  </si>
  <si>
    <t>271.20000000000005</t>
  </si>
  <si>
    <t>Row33_Row127_Row3_Row114_Row89_Row3_Row0_Row3</t>
  </si>
  <si>
    <t>RES000034</t>
  </si>
  <si>
    <t>Row247</t>
  </si>
  <si>
    <t>882.08</t>
  </si>
  <si>
    <t>441.04</t>
  </si>
  <si>
    <t>73.78999999999999</t>
  </si>
  <si>
    <t>Row34_Row48_Row2_Row44_Row43_Row1_Row0_Row1</t>
  </si>
  <si>
    <t>RES000035</t>
  </si>
  <si>
    <t>Row98</t>
  </si>
  <si>
    <t>2162.82</t>
  </si>
  <si>
    <t>720.94</t>
  </si>
  <si>
    <t>450.87000000000006</t>
  </si>
  <si>
    <t>Row35_Row268_Row0_Row201_Row79_Row0_Row0_Row4</t>
  </si>
  <si>
    <t>RES000036</t>
  </si>
  <si>
    <t>Row575</t>
  </si>
  <si>
    <t>Row202</t>
  </si>
  <si>
    <t>123.74</t>
  </si>
  <si>
    <t>76.28</t>
  </si>
  <si>
    <t>Row36_Row159_Row1_Row60_Row33_Row2_Row0_Row2</t>
  </si>
  <si>
    <t>RES000037</t>
  </si>
  <si>
    <t>Row84</t>
  </si>
  <si>
    <t>874.62</t>
  </si>
  <si>
    <t>437.31</t>
  </si>
  <si>
    <t>301.71</t>
  </si>
  <si>
    <t>135.60000000000002</t>
  </si>
  <si>
    <t>Row37_Row27_Row3_Row17_Row107_Row6_Row0_Row0</t>
  </si>
  <si>
    <t>RES000038</t>
  </si>
  <si>
    <t>Row363</t>
  </si>
  <si>
    <t>Row38_Row132_Row2_Row110_Row3_Row5_Row0_Row3</t>
  </si>
  <si>
    <t>RES000039</t>
  </si>
  <si>
    <t>Row256</t>
  </si>
  <si>
    <t>Row237</t>
  </si>
  <si>
    <t>379.68</t>
  </si>
  <si>
    <t>Row39_Row306_Row0_Row218_Row87_Row4_Row0_Row1</t>
  </si>
  <si>
    <t>RES000040</t>
  </si>
  <si>
    <t>Row674</t>
  </si>
  <si>
    <t>Row230</t>
  </si>
  <si>
    <t>933.94</t>
  </si>
  <si>
    <t>466.97</t>
  </si>
  <si>
    <t>64.41</t>
  </si>
  <si>
    <t>402.56000000000006</t>
  </si>
  <si>
    <t>Row40_Row558_Row1_Row299_Row128_Row3_Row2_Row5</t>
  </si>
  <si>
    <t>RES000041</t>
  </si>
  <si>
    <t>Row1417</t>
  </si>
  <si>
    <t>Row1453</t>
  </si>
  <si>
    <t>616.98</t>
  </si>
  <si>
    <t>Row41_Row510_Row3_Row280_Row158_Row1_Row2_Row5</t>
  </si>
  <si>
    <t>RES000042</t>
  </si>
  <si>
    <t>Row1436</t>
  </si>
  <si>
    <t>109.61</t>
  </si>
  <si>
    <t>Row42_Row602_Row2_Row270_Row140_Row0_Row2_Row5</t>
  </si>
  <si>
    <t>RES000043</t>
  </si>
  <si>
    <t>Row1486</t>
  </si>
  <si>
    <t>Row1362</t>
  </si>
  <si>
    <t>232.78</t>
  </si>
  <si>
    <t>Row43_Row499_Row0_Row260_Row146_Row2_Row3_Row5</t>
  </si>
  <si>
    <t>RES000044</t>
  </si>
  <si>
    <t>Row1372</t>
  </si>
  <si>
    <t>369.51</t>
  </si>
  <si>
    <t>Row44_Row267_Row1_Row77_Row111_Row6_Row1_Row2</t>
  </si>
  <si>
    <t>RES000045</t>
  </si>
  <si>
    <t>Row570</t>
  </si>
  <si>
    <t>Row384</t>
  </si>
  <si>
    <t>170.58</t>
  </si>
  <si>
    <t>426.46</t>
  </si>
  <si>
    <t>349.62</t>
  </si>
  <si>
    <t>Row45_Row392_Row3_Row83_Row38_Row5_Row1_Row0</t>
  </si>
  <si>
    <t>RES000046</t>
  </si>
  <si>
    <t>Row928</t>
  </si>
  <si>
    <t>Row91</t>
  </si>
  <si>
    <t>244.98</t>
  </si>
  <si>
    <t>612.46</t>
  </si>
  <si>
    <t>548.0500000000001</t>
  </si>
  <si>
    <t>Row46_Row81_Row2_Row129_Row82_Row4_Row0_Row0</t>
  </si>
  <si>
    <t>RES000047</t>
  </si>
  <si>
    <t>Row157</t>
  </si>
  <si>
    <t>Row301</t>
  </si>
  <si>
    <t>Row210</t>
  </si>
  <si>
    <t>2890.98</t>
  </si>
  <si>
    <t>963.66</t>
  </si>
  <si>
    <t>265.32</t>
  </si>
  <si>
    <t>698.3399999999999</t>
  </si>
  <si>
    <t>Row47_Row82_Row0_Row161_Row63_Row3_Row0_Row3</t>
  </si>
  <si>
    <t>RES000048</t>
  </si>
  <si>
    <t>Row159</t>
  </si>
  <si>
    <t>Row392</t>
  </si>
  <si>
    <t>Row148</t>
  </si>
  <si>
    <t>165.88</t>
  </si>
  <si>
    <t>42.71</t>
  </si>
  <si>
    <t>123.16999999999999</t>
  </si>
  <si>
    <t>Row48_Row286_Row1_Row212_Row16_Row1_Row0_Row1</t>
  </si>
  <si>
    <t>RES000049</t>
  </si>
  <si>
    <t>Row631</t>
  </si>
  <si>
    <t>Row37</t>
  </si>
  <si>
    <t>1014.74</t>
  </si>
  <si>
    <t>507.37</t>
  </si>
  <si>
    <t>205.66000000000003</t>
  </si>
  <si>
    <t>Row49_Row54_Row3_Row5_Row48_Row0_Row0_Row4</t>
  </si>
  <si>
    <t>RES000050</t>
  </si>
  <si>
    <t>Row111</t>
  </si>
  <si>
    <t>1543.98</t>
  </si>
  <si>
    <t>514.66</t>
  </si>
  <si>
    <t>312.39</t>
  </si>
  <si>
    <t>Row50_Row2_Row2_Row2_Row2_Row2_Row0_Row2</t>
  </si>
  <si>
    <t>RES000051</t>
  </si>
  <si>
    <t>528.84</t>
  </si>
  <si>
    <t>465.56000000000006</t>
  </si>
  <si>
    <t>Row51_Row347_Row0_Row0_Row84_Row6_Row0_Row0</t>
  </si>
  <si>
    <t>RES000052</t>
  </si>
  <si>
    <t>Row805</t>
  </si>
  <si>
    <t>Row218</t>
  </si>
  <si>
    <t>1365.04</t>
  </si>
  <si>
    <t>682.52</t>
  </si>
  <si>
    <t>615.85</t>
  </si>
  <si>
    <t>Row52_Row380_Row1_Row197_Row72_Row5_Row0_Row3</t>
  </si>
  <si>
    <t>RES000053</t>
  </si>
  <si>
    <t>Row900</t>
  </si>
  <si>
    <t>Row172</t>
  </si>
  <si>
    <t>2605.23</t>
  </si>
  <si>
    <t>868.41</t>
  </si>
  <si>
    <t>251.43</t>
  </si>
  <si>
    <t>Row53_Row45_Row3_Row41_Row40_Row4_Row0_Row1</t>
  </si>
  <si>
    <t>RES000054</t>
  </si>
  <si>
    <t>Row94</t>
  </si>
  <si>
    <t>159.67</t>
  </si>
  <si>
    <t>98.64999999999998</t>
  </si>
  <si>
    <t>Row54_Row162_Row2_Row59_Row27_Row3_Row0_Row4</t>
  </si>
  <si>
    <t>RES000055</t>
  </si>
  <si>
    <t>Row326</t>
  </si>
  <si>
    <t>Row135</t>
  </si>
  <si>
    <t>Row68</t>
  </si>
  <si>
    <t>954.18</t>
  </si>
  <si>
    <t>477.09</t>
  </si>
  <si>
    <t>255.95</t>
  </si>
  <si>
    <t>221.14</t>
  </si>
  <si>
    <t>Row55_Row106_Row0_Row223_Row99_Row1_Row0_Row2</t>
  </si>
  <si>
    <t>RES000056</t>
  </si>
  <si>
    <t>Row730</t>
  </si>
  <si>
    <t>Row327</t>
  </si>
  <si>
    <t>1796.6999999999998</t>
  </si>
  <si>
    <t>598.9</t>
  </si>
  <si>
    <t>Row56_Row34_Row1_Row31_Row29_Row0_Row0_Row0</t>
  </si>
  <si>
    <t>RES000057</t>
  </si>
  <si>
    <t>Row77</t>
  </si>
  <si>
    <t>488.16</t>
  </si>
  <si>
    <t>411.32000000000005</t>
  </si>
  <si>
    <t>Row57_Row79_Row3_Row25_Row66_Row2_Row0_Row3</t>
  </si>
  <si>
    <t>RES000058</t>
  </si>
  <si>
    <t>Row154</t>
  </si>
  <si>
    <t>1256.56</t>
  </si>
  <si>
    <t>628.28</t>
  </si>
  <si>
    <t>548.05</t>
  </si>
  <si>
    <t>Row58_Row100_Row2_Row89_Row6_Row6_Row0_Row1</t>
  </si>
  <si>
    <t>RES000059</t>
  </si>
  <si>
    <t>Row189</t>
  </si>
  <si>
    <t>Row12</t>
  </si>
  <si>
    <t>2905.23</t>
  </si>
  <si>
    <t>968.41</t>
  </si>
  <si>
    <t>Row59_Row235_Row0_Row127_Row44_Row5_Row0_Row4</t>
  </si>
  <si>
    <t>RES000060</t>
  </si>
  <si>
    <t>Row496</t>
  </si>
  <si>
    <t>Row284</t>
  </si>
  <si>
    <t>Row101</t>
  </si>
  <si>
    <t>152.15</t>
  </si>
  <si>
    <t>104.69</t>
  </si>
  <si>
    <t>Row60_Row496_Row1_Row276_Row139_Row4_Row2_Row5</t>
  </si>
  <si>
    <t>RES000061</t>
  </si>
  <si>
    <t>Row1399</t>
  </si>
  <si>
    <t>Row1361</t>
  </si>
  <si>
    <t>205.66</t>
  </si>
  <si>
    <t>Row61_Row580_Row3_Row253_Row138_Row3_Row2_Row5</t>
  </si>
  <si>
    <t>RES000062</t>
  </si>
  <si>
    <t>Row1449</t>
  </si>
  <si>
    <t>Row1360</t>
  </si>
  <si>
    <t>328.83</t>
  </si>
  <si>
    <t>Row62_Row574_Row2_Row298_Row156_Row1_Row2_Row5</t>
  </si>
  <si>
    <t>RES000063</t>
  </si>
  <si>
    <t>Row1440</t>
  </si>
  <si>
    <t>Row1452</t>
  </si>
  <si>
    <t>Row1408</t>
  </si>
  <si>
    <t>Row63_Row523_Row0_Row243_Row134_Row0_Row3_Row5</t>
  </si>
  <si>
    <t>RES000064</t>
  </si>
  <si>
    <t>Row1378</t>
  </si>
  <si>
    <t>Row1356</t>
  </si>
  <si>
    <t>Row64_Row239_Row1_Row176_Row62_Row2_Row1_Row0</t>
  </si>
  <si>
    <t>RES000065</t>
  </si>
  <si>
    <t>Row504</t>
  </si>
  <si>
    <t>Row440</t>
  </si>
  <si>
    <t>Row146</t>
  </si>
  <si>
    <t>243.49</t>
  </si>
  <si>
    <t>608.73</t>
  </si>
  <si>
    <t>586.13</t>
  </si>
  <si>
    <t>Row65_Row202_Row3_Row39_Row112_Row6_Row1_Row3</t>
  </si>
  <si>
    <t>RES000066</t>
  </si>
  <si>
    <t>Row409</t>
  </si>
  <si>
    <t>Row390</t>
  </si>
  <si>
    <t>68.25</t>
  </si>
  <si>
    <t>170.63</t>
  </si>
  <si>
    <t>109.60999999999999</t>
  </si>
  <si>
    <t>Row66_Row367_Row2_Row72_Row91_Row5_Row0_Row3</t>
  </si>
  <si>
    <t>RES000067</t>
  </si>
  <si>
    <t>Row868</t>
  </si>
  <si>
    <t>Row255</t>
  </si>
  <si>
    <t>232.78000000000003</t>
  </si>
  <si>
    <t>Row67_Row452_Row0_Row73_Row67_Row4_Row0_Row1</t>
  </si>
  <si>
    <t>RES000068</t>
  </si>
  <si>
    <t>Row1168</t>
  </si>
  <si>
    <t>Row156</t>
  </si>
  <si>
    <t>1773.66</t>
  </si>
  <si>
    <t>591.22</t>
  </si>
  <si>
    <t>221.71</t>
  </si>
  <si>
    <t>Row68_Row355_Row1_Row177_Row117_Row3_Row0_Row4</t>
  </si>
  <si>
    <t>RES000069</t>
  </si>
  <si>
    <t>Row821</t>
  </si>
  <si>
    <t>Row443</t>
  </si>
  <si>
    <t>Row492</t>
  </si>
  <si>
    <t>480.48</t>
  </si>
  <si>
    <t>69.16</t>
  </si>
  <si>
    <t>Row69_Row4_Row3_Row4_Row4_Row1_Row0_Row2</t>
  </si>
  <si>
    <t>RES000070</t>
  </si>
  <si>
    <t>1201.76</t>
  </si>
  <si>
    <t>600.88</t>
  </si>
  <si>
    <t>520.65</t>
  </si>
  <si>
    <t>Row70_Row431_Row2_Row213_Row49_Row0_Row0_Row0</t>
  </si>
  <si>
    <t>RES000071</t>
  </si>
  <si>
    <t>Row1072</t>
  </si>
  <si>
    <t>Row633</t>
  </si>
  <si>
    <t>Row116</t>
  </si>
  <si>
    <t>Row71_Row254_Row0_Row192_Row120_Row2_Row0_Row3</t>
  </si>
  <si>
    <t>RES000072</t>
  </si>
  <si>
    <t>Row539</t>
  </si>
  <si>
    <t>158.31</t>
  </si>
  <si>
    <t>110.85</t>
  </si>
  <si>
    <t>Row72_Row240_Row1_Row170_Row92_Row6_Row0_Row1</t>
  </si>
  <si>
    <t>RES000073</t>
  </si>
  <si>
    <t>Row505</t>
  </si>
  <si>
    <t>Row424</t>
  </si>
  <si>
    <t>Row259</t>
  </si>
  <si>
    <t>Row73_Row125_Row3_Row112_Row8_Row5_Row0_Row4</t>
  </si>
  <si>
    <t>RES000074</t>
  </si>
  <si>
    <t>Row241</t>
  </si>
  <si>
    <t>Row18</t>
  </si>
  <si>
    <t>1580.0700000000002</t>
  </si>
  <si>
    <t>526.69</t>
  </si>
  <si>
    <t>197.85999999999999</t>
  </si>
  <si>
    <t>328.83000000000004</t>
  </si>
  <si>
    <t>Row74_Row31_Row2_Row52_Row51_Row4_Row0_Row2</t>
  </si>
  <si>
    <t>RES000075</t>
  </si>
  <si>
    <t>Row121</t>
  </si>
  <si>
    <t>459.01</t>
  </si>
  <si>
    <t>395.73</t>
  </si>
  <si>
    <t>Row75_Row163_Row0_Row96_Row15_Row3_Row0_Row0</t>
  </si>
  <si>
    <t>RES000076</t>
  </si>
  <si>
    <t>1356.22</t>
  </si>
  <si>
    <t>678.11</t>
  </si>
  <si>
    <t>62.26</t>
  </si>
  <si>
    <t>Row76_Row256_Row1_Row193_Row110_Row1_Row0_Row3</t>
  </si>
  <si>
    <t>RES000077</t>
  </si>
  <si>
    <t>Row544</t>
  </si>
  <si>
    <t>Row383</t>
  </si>
  <si>
    <t>2661.1499999999996</t>
  </si>
  <si>
    <t>887.05</t>
  </si>
  <si>
    <t>Row77_Row220_Row3_Row81_Row115_Row0_Row0_Row1</t>
  </si>
  <si>
    <t>RES000078</t>
  </si>
  <si>
    <t>Row454</t>
  </si>
  <si>
    <t>Row174</t>
  </si>
  <si>
    <t>Row78_Row58_Row2_Row84_Row97_Row2_Row0_Row4</t>
  </si>
  <si>
    <t>RES000079</t>
  </si>
  <si>
    <t>Row120</t>
  </si>
  <si>
    <t>Row179</t>
  </si>
  <si>
    <t>Row296</t>
  </si>
  <si>
    <t>Row79_Row308_Row0_Row229_Row45_Row6_Row0_Row2</t>
  </si>
  <si>
    <t>RES000080</t>
  </si>
  <si>
    <t>Row680</t>
  </si>
  <si>
    <t>Row831</t>
  </si>
  <si>
    <t>Row103</t>
  </si>
  <si>
    <t>1741.2599999999998</t>
  </si>
  <si>
    <t>580.42</t>
  </si>
  <si>
    <t>351.03</t>
  </si>
  <si>
    <t>Row80_Row563_Row1_Row240_Row142_Row5_Row2_Row5</t>
  </si>
  <si>
    <t>RES000081</t>
  </si>
  <si>
    <t>Row1424</t>
  </si>
  <si>
    <t>Row1365</t>
  </si>
  <si>
    <t>370.19</t>
  </si>
  <si>
    <t>Row81_Row504_Row3_Row248_Row136_Row4_Row2_Row5</t>
  </si>
  <si>
    <t>RES000082</t>
  </si>
  <si>
    <t>Row1358</t>
  </si>
  <si>
    <t>Row82_Row540_Row2_Row274_Row137_Row3_Row2_Row5</t>
  </si>
  <si>
    <t>RES000083</t>
  </si>
  <si>
    <t>Row1397</t>
  </si>
  <si>
    <t>Row1359</t>
  </si>
  <si>
    <t>698.34</t>
  </si>
  <si>
    <t>Row83_Row565_Row0_Row246_Row155_Row1_Row3_Row5</t>
  </si>
  <si>
    <t>RES000084</t>
  </si>
  <si>
    <t>Row1426</t>
  </si>
  <si>
    <t>Row1404</t>
  </si>
  <si>
    <t>123.17</t>
  </si>
  <si>
    <t>Row84_Row365_Row1_Row205_Row121_Row0_Row1_Row3</t>
  </si>
  <si>
    <t>RES000085</t>
  </si>
  <si>
    <t>Row865</t>
  </si>
  <si>
    <t>Row591</t>
  </si>
  <si>
    <t>Row547</t>
  </si>
  <si>
    <t>160.87</t>
  </si>
  <si>
    <t>402.17</t>
  </si>
  <si>
    <t>195.38000000000002</t>
  </si>
  <si>
    <t>Row85_Row321_Row3_Row165_Row52_Row2_Row1_Row1</t>
  </si>
  <si>
    <t>RES000086</t>
  </si>
  <si>
    <t>Row717</t>
  </si>
  <si>
    <t>Row122</t>
  </si>
  <si>
    <t>169.5</t>
  </si>
  <si>
    <t>Row86_Row288_Row2_Row117_Row77_Row6_Row0_Row1</t>
  </si>
  <si>
    <t>RES000087</t>
  </si>
  <si>
    <t>Row639</t>
  </si>
  <si>
    <t>Row197</t>
  </si>
  <si>
    <t>Row87_Row187_Row0_Row157_Row109_Row5_Row0_Row4</t>
  </si>
  <si>
    <t>RES000088</t>
  </si>
  <si>
    <t>Row375</t>
  </si>
  <si>
    <t>Row88_Row208_Row1_Row169_Row86_Row4_Row0_Row2</t>
  </si>
  <si>
    <t>RES000089</t>
  </si>
  <si>
    <t>Row421</t>
  </si>
  <si>
    <t>Row228</t>
  </si>
  <si>
    <t>2642.8500000000004</t>
  </si>
  <si>
    <t>880.95</t>
  </si>
  <si>
    <t>263.97</t>
  </si>
  <si>
    <t>Row89_Row130_Row3_Row20_Row90_Row3_Row0_Row0</t>
  </si>
  <si>
    <t>RES000090</t>
  </si>
  <si>
    <t>Row254</t>
  </si>
  <si>
    <t>Row47</t>
  </si>
  <si>
    <t>148.09</t>
  </si>
  <si>
    <t>93.17</t>
  </si>
  <si>
    <t>Row90_Row44_Row2_Row40_Row39_Row1_Row0_Row3</t>
  </si>
  <si>
    <t>RES000091</t>
  </si>
  <si>
    <t>Row92</t>
  </si>
  <si>
    <t>Row91_Row351_Row0_Row209_Row101_Row0_Row0_Row1</t>
  </si>
  <si>
    <t>RES000092</t>
  </si>
  <si>
    <t>Row814</t>
  </si>
  <si>
    <t>Row615</t>
  </si>
  <si>
    <t>Row336</t>
  </si>
  <si>
    <t>Row92_Row207_Row1_Row119_Row113_Row2_Row0_Row4</t>
  </si>
  <si>
    <t>RES000093</t>
  </si>
  <si>
    <t>Row420</t>
  </si>
  <si>
    <t>Row93_Row61_Row3_Row211_Row102_Row6_Row0_Row2</t>
  </si>
  <si>
    <t>RES000094</t>
  </si>
  <si>
    <t>Row126</t>
  </si>
  <si>
    <t>Row626</t>
  </si>
  <si>
    <t>Row345</t>
  </si>
  <si>
    <t>Row94_Row115_Row2_Row28_Row85_Row5_Row0_Row0</t>
  </si>
  <si>
    <t>RES000095</t>
  </si>
  <si>
    <t>Row220</t>
  </si>
  <si>
    <t>2738.43</t>
  </si>
  <si>
    <t>912.81</t>
  </si>
  <si>
    <t>663.42</t>
  </si>
  <si>
    <t>Row95_Row316_Row0_Row137_Row10_Row4_Row0_Row3</t>
  </si>
  <si>
    <t>RES000096</t>
  </si>
  <si>
    <t>Row708</t>
  </si>
  <si>
    <t>Row26</t>
  </si>
  <si>
    <t>Row96_Row98_Row1_Row87_Row14_Row3_Row0_Row1</t>
  </si>
  <si>
    <t>RES000097</t>
  </si>
  <si>
    <t>Row186</t>
  </si>
  <si>
    <t>973.38</t>
  </si>
  <si>
    <t>486.69</t>
  </si>
  <si>
    <t>205.65999999999997</t>
  </si>
  <si>
    <t>Row97_Row241_Row3_Row184_Row25_Row1_Row0_Row4</t>
  </si>
  <si>
    <t>RES000098</t>
  </si>
  <si>
    <t>Row506</t>
  </si>
  <si>
    <t>Row62</t>
  </si>
  <si>
    <t>1593.3000000000002</t>
  </si>
  <si>
    <t>531.1</t>
  </si>
  <si>
    <t>Row98_Row146_Row2_Row51_Row83_Row0_Row0_Row2</t>
  </si>
  <si>
    <t>RES000099</t>
  </si>
  <si>
    <t>Row288</t>
  </si>
  <si>
    <t>Row212</t>
  </si>
  <si>
    <t>482.28</t>
  </si>
  <si>
    <t>Row99_Row471_Row0_Row46_Row114_Row2_Row0_Row0</t>
  </si>
  <si>
    <t>RES000100</t>
  </si>
  <si>
    <t>Row1251</t>
  </si>
  <si>
    <t>Row444</t>
  </si>
  <si>
    <t>1303.46</t>
  </si>
  <si>
    <t>651.73</t>
  </si>
  <si>
    <t>585.0600000000001</t>
  </si>
  <si>
    <t>Row100_Row503_Row1_Row247_Row135_Row6_Row2_Row5</t>
  </si>
  <si>
    <t>RES000101</t>
  </si>
  <si>
    <t>Row1357</t>
  </si>
  <si>
    <t>1037.34</t>
  </si>
  <si>
    <t>Row101_Row530_Row3_Row268_Row150_Row5_Row2_Row5</t>
  </si>
  <si>
    <t>RES000102</t>
  </si>
  <si>
    <t>Row1387</t>
  </si>
  <si>
    <t>Row1384</t>
  </si>
  <si>
    <t>181.93</t>
  </si>
  <si>
    <t>Row102_Row547_Row2_Row290_Row159_Row4_Row2_Row5</t>
  </si>
  <si>
    <t>RES000103</t>
  </si>
  <si>
    <t>Row1405</t>
  </si>
  <si>
    <t>Row1433</t>
  </si>
  <si>
    <t>Row1487</t>
  </si>
  <si>
    <t>381.94</t>
  </si>
  <si>
    <t>Row103_Row528_Row0_Row267_Row129_Row3_Row3_Row5</t>
  </si>
  <si>
    <t>RES000104</t>
  </si>
  <si>
    <t>Row1385</t>
  </si>
  <si>
    <t>600.03</t>
  </si>
  <si>
    <t>Row104_Row257_Row1_Row227_Row54_Row1_Row1_Row1</t>
  </si>
  <si>
    <t>RES000105</t>
  </si>
  <si>
    <t>Row810</t>
  </si>
  <si>
    <t>Row127</t>
  </si>
  <si>
    <t>265.87</t>
  </si>
  <si>
    <t>664.67</t>
  </si>
  <si>
    <t>587.8299999999999</t>
  </si>
  <si>
    <t>Row105_Row148_Row3_Row181_Row35_Row0_Row1_Row4</t>
  </si>
  <si>
    <t>RES000106</t>
  </si>
  <si>
    <t>Row292</t>
  </si>
  <si>
    <t>Row463</t>
  </si>
  <si>
    <t>389.62</t>
  </si>
  <si>
    <t>974.06</t>
  </si>
  <si>
    <t>909.65</t>
  </si>
  <si>
    <t>Row106_Row319_Row2_Row116_Row57_Row2_Row0_Row4</t>
  </si>
  <si>
    <t>RES000107</t>
  </si>
  <si>
    <t>Row712</t>
  </si>
  <si>
    <t>Row251</t>
  </si>
  <si>
    <t>Row139</t>
  </si>
  <si>
    <t>4247.67</t>
  </si>
  <si>
    <t>1415.89</t>
  </si>
  <si>
    <t>1145.8200000000002</t>
  </si>
  <si>
    <t>Row107_Row99_Row0_Row88_Row55_Row6_Row0_Row2</t>
  </si>
  <si>
    <t>RES000108</t>
  </si>
  <si>
    <t>Row188</t>
  </si>
  <si>
    <t>Row132</t>
  </si>
  <si>
    <t>227.47</t>
  </si>
  <si>
    <t>180.01</t>
  </si>
  <si>
    <t>Row108_Row358_Row1_Row106_Row76_Row5_Row0_Row0</t>
  </si>
  <si>
    <t>RES000109</t>
  </si>
  <si>
    <t>Row830</t>
  </si>
  <si>
    <t>Row192</t>
  </si>
  <si>
    <t>1294.98</t>
  </si>
  <si>
    <t>647.49</t>
  </si>
  <si>
    <t>345.78000000000003</t>
  </si>
  <si>
    <t>Row109_Row339_Row3_Row162_Row61_Row4_Row0_Row3</t>
  </si>
  <si>
    <t>RES000110</t>
  </si>
  <si>
    <t>Row771</t>
  </si>
  <si>
    <t>Row393</t>
  </si>
  <si>
    <t>Row145</t>
  </si>
  <si>
    <t>2143.32</t>
  </si>
  <si>
    <t>714.44</t>
  </si>
  <si>
    <t>195.94</t>
  </si>
  <si>
    <t>518.5</t>
  </si>
  <si>
    <t>Row110_Row400_Row2_Row150_Row13_Row3_Row0_Row1</t>
  </si>
  <si>
    <t>RES000111</t>
  </si>
  <si>
    <t>Row961</t>
  </si>
  <si>
    <t>Row357</t>
  </si>
  <si>
    <t>Row32</t>
  </si>
  <si>
    <t>820.83</t>
  </si>
  <si>
    <t>763.88</t>
  </si>
  <si>
    <t>Row111_Row168_Row0_Row191_Row126_Row1_Row0_Row4</t>
  </si>
  <si>
    <t>RES000112</t>
  </si>
  <si>
    <t>Row536</t>
  </si>
  <si>
    <t>Row646</t>
  </si>
  <si>
    <t>2133.44</t>
  </si>
  <si>
    <t>1066.72</t>
  </si>
  <si>
    <t>1000.0500000000001</t>
  </si>
  <si>
    <t>Row112_Row25_Row1_Row23_Row1_Row0_Row0_Row2</t>
  </si>
  <si>
    <t>RES000113</t>
  </si>
  <si>
    <t>Row53</t>
  </si>
  <si>
    <t>3922.2300000000005</t>
  </si>
  <si>
    <t>1307.41</t>
  </si>
  <si>
    <t>1037.3400000000001</t>
  </si>
  <si>
    <t>Row113_Row173_Row3_Row55_Row118_Row2_Row0_Row0</t>
  </si>
  <si>
    <t>RES000114</t>
  </si>
  <si>
    <t>Row495</t>
  </si>
  <si>
    <t>242.95</t>
  </si>
  <si>
    <t>181.92999999999998</t>
  </si>
  <si>
    <t>Row114_Row97_Row2_Row86_Row75_Row6_Row0_Row3</t>
  </si>
  <si>
    <t>RES000115</t>
  </si>
  <si>
    <t>Row184</t>
  </si>
  <si>
    <t>1274.86</t>
  </si>
  <si>
    <t>637.43</t>
  </si>
  <si>
    <t>362.84</t>
  </si>
  <si>
    <t>Row115_Row167_Row0_Row141_Row46_Row5_Row0_Row1</t>
  </si>
  <si>
    <t>RES000116</t>
  </si>
  <si>
    <t>Row333</t>
  </si>
  <si>
    <t>Row107</t>
  </si>
  <si>
    <t>2468.94</t>
  </si>
  <si>
    <t>822.98</t>
  </si>
  <si>
    <t>Row116_Row305_Row1_Row14_Row127_Row4_Row0_Row4</t>
  </si>
  <si>
    <t>RES000117</t>
  </si>
  <si>
    <t>Row673</t>
  </si>
  <si>
    <t>699.24</t>
  </si>
  <si>
    <t>622.4</t>
  </si>
  <si>
    <t>Row117_Row139_Row3_Row115_Row7_Row3_Row0_Row2</t>
  </si>
  <si>
    <t>RES000118</t>
  </si>
  <si>
    <t>Row267</t>
  </si>
  <si>
    <t>Row249</t>
  </si>
  <si>
    <t>Row15</t>
  </si>
  <si>
    <t>1966.88</t>
  </si>
  <si>
    <t>983.44</t>
  </si>
  <si>
    <t>909.6500000000001</t>
  </si>
  <si>
    <t>Row118_Row245_Row2_Row100_Row119_Row1_Row0_Row0</t>
  </si>
  <si>
    <t>RES000119</t>
  </si>
  <si>
    <t>Row519</t>
  </si>
  <si>
    <t>Row119_Row28_Row0_Row26_Row24_Row0_Row0_Row3</t>
  </si>
  <si>
    <t>RES000120</t>
  </si>
  <si>
    <t>Row61</t>
  </si>
  <si>
    <t>217.47</t>
  </si>
  <si>
    <t>170.01</t>
  </si>
  <si>
    <t>Row120_Row539_Row1_Row287_Row130_Row2_Row2_Row5</t>
  </si>
  <si>
    <t>RES000121</t>
  </si>
  <si>
    <t>Row1396</t>
  </si>
  <si>
    <t>Row1423</t>
  </si>
  <si>
    <t>345.78</t>
  </si>
  <si>
    <t>Row121_Row579_Row3_Row292_Row145_Row6_Row2_Row5</t>
  </si>
  <si>
    <t>RES000122</t>
  </si>
  <si>
    <t>Row1448</t>
  </si>
  <si>
    <t>Row1435</t>
  </si>
  <si>
    <t>Row1371</t>
  </si>
  <si>
    <t>545.79</t>
  </si>
  <si>
    <t>Row122_Row544_Row2_Row278_Row148_Row5_Row2_Row5</t>
  </si>
  <si>
    <t>RES000123</t>
  </si>
  <si>
    <t>Row1402</t>
  </si>
  <si>
    <t>Row1374</t>
  </si>
  <si>
    <t>Row123_Row572_Row0_Row265_Row144_Row4_Row3_Row5</t>
  </si>
  <si>
    <t>RES000124</t>
  </si>
  <si>
    <t>Row1437</t>
  </si>
  <si>
    <t>Row1380</t>
  </si>
  <si>
    <t>Row1370</t>
  </si>
  <si>
    <t>1000.05</t>
  </si>
  <si>
    <t>Row124_Row62_Row1_Row194_Row47_Row3_Row1_Row4</t>
  </si>
  <si>
    <t>RES000125</t>
  </si>
  <si>
    <t>Row110</t>
  </si>
  <si>
    <t>402.32</t>
  </si>
  <si>
    <t>1005.81</t>
  </si>
  <si>
    <t>20.34</t>
  </si>
  <si>
    <t>985.4699999999999</t>
  </si>
  <si>
    <t>Row125_Row143_Row3_Row126_Row95_Row1_Row1_Row2</t>
  </si>
  <si>
    <t>RES000126</t>
  </si>
  <si>
    <t>Row280</t>
  </si>
  <si>
    <t>89.9</t>
  </si>
  <si>
    <t>224.76</t>
  </si>
  <si>
    <t>163.73999999999998</t>
  </si>
  <si>
    <t>Row126_Row68_Row2_Row91_Row71_Row0_Row0_Row2</t>
  </si>
  <si>
    <t>RES000127</t>
  </si>
  <si>
    <t>Row194</t>
  </si>
  <si>
    <t>Row168</t>
  </si>
  <si>
    <t>1313.06</t>
  </si>
  <si>
    <t>656.53</t>
  </si>
  <si>
    <t>Row127_Row60_Row0_Row54_Row53_Row2_Row0_Row0</t>
  </si>
  <si>
    <t>RES000128</t>
  </si>
  <si>
    <t>Row123</t>
  </si>
  <si>
    <t>2488.2599999999998</t>
  </si>
  <si>
    <t>829.42</t>
  </si>
  <si>
    <t>Row128_Row322_Row1_Row228_Row34_Row6_Row0_Row3</t>
  </si>
  <si>
    <t>RES000129</t>
  </si>
  <si>
    <t>Row718</t>
  </si>
  <si>
    <t>Row85</t>
  </si>
  <si>
    <t>768.4</t>
  </si>
  <si>
    <t>691.56</t>
  </si>
  <si>
    <t>Row129_Row73_Row3_Row203_Row12_Row5_Row0_Row1</t>
  </si>
  <si>
    <t>RES000130</t>
  </si>
  <si>
    <t>Row579</t>
  </si>
  <si>
    <t>Row29</t>
  </si>
  <si>
    <t>1888.8</t>
  </si>
  <si>
    <t>944.4</t>
  </si>
  <si>
    <t>864.17</t>
  </si>
  <si>
    <t>Row130_Row258_Row2_Row144_Row116_Row4_Row0_Row4</t>
  </si>
  <si>
    <t>RES000131</t>
  </si>
  <si>
    <t>Row548</t>
  </si>
  <si>
    <t>Row339</t>
  </si>
  <si>
    <t>4233.42</t>
  </si>
  <si>
    <t>1411.14</t>
  </si>
  <si>
    <t>Row131_Row232_Row0_Row142_Row11_Row3_Row0_Row2</t>
  </si>
  <si>
    <t>RES000132</t>
  </si>
  <si>
    <t>Row486</t>
  </si>
  <si>
    <t>Row27</t>
  </si>
  <si>
    <t>242.72</t>
  </si>
  <si>
    <t>200.01</t>
  </si>
  <si>
    <t>Row132_Row289_Row1_Row216_Row59_Row1_Row0_Row0</t>
  </si>
  <si>
    <t>RES000133</t>
  </si>
  <si>
    <t>Row640</t>
  </si>
  <si>
    <t>Row668</t>
  </si>
  <si>
    <t>Row141</t>
  </si>
  <si>
    <t>Row133_Row236_Row3_Row145_Row69_Row0_Row0_Row3</t>
  </si>
  <si>
    <t>RES000134</t>
  </si>
  <si>
    <t>Row497</t>
  </si>
  <si>
    <t>Row166</t>
  </si>
  <si>
    <t>2244.18</t>
  </si>
  <si>
    <t>748.06</t>
  </si>
  <si>
    <t>Row134_Row423_Row2_Row139_Row19_Row2_Row0_Row1</t>
  </si>
  <si>
    <t>RES000135</t>
  </si>
  <si>
    <t>Row1030</t>
  </si>
  <si>
    <t>Row329</t>
  </si>
  <si>
    <t>Row45</t>
  </si>
  <si>
    <t>712.58</t>
  </si>
  <si>
    <t>649.3000000000001</t>
  </si>
  <si>
    <t>Row135_Row150_Row0_Row146_Row88_Row6_Row0_Row4</t>
  </si>
  <si>
    <t>RES000136</t>
  </si>
  <si>
    <t>Row299</t>
  </si>
  <si>
    <t>Row349</t>
  </si>
  <si>
    <t>Row234</t>
  </si>
  <si>
    <t>Row136_Row282_Row1_Row208_Row58_Row5_Row0_Row2</t>
  </si>
  <si>
    <t>RES000137</t>
  </si>
  <si>
    <t>Row610</t>
  </si>
  <si>
    <t>Row140</t>
  </si>
  <si>
    <t>3866.31</t>
  </si>
  <si>
    <t>1288.77</t>
  </si>
  <si>
    <t>Row137_Row7_Row3_Row78_Row81_Row4_Row0_Row0</t>
  </si>
  <si>
    <t>RES000138</t>
  </si>
  <si>
    <t>Row170</t>
  </si>
  <si>
    <t>Row206</t>
  </si>
  <si>
    <t>Row138_Row396_Row2_Row231_Row124_Row3_Row0_Row3</t>
  </si>
  <si>
    <t>RES000139</t>
  </si>
  <si>
    <t>Row950</t>
  </si>
  <si>
    <t>Row851</t>
  </si>
  <si>
    <t>Row587</t>
  </si>
  <si>
    <t>1275.78</t>
  </si>
  <si>
    <t>637.89</t>
  </si>
  <si>
    <t>Row139_Row281_Row0_Row29_Row106_Row1_Row0_Row1</t>
  </si>
  <si>
    <t>RES000140</t>
  </si>
  <si>
    <t>Row604</t>
  </si>
  <si>
    <t>Row71</t>
  </si>
  <si>
    <t>Row361</t>
  </si>
  <si>
    <t>2398.2599999999998</t>
  </si>
  <si>
    <t>799.42</t>
  </si>
  <si>
    <t>570.03</t>
  </si>
  <si>
    <t>Row140_Row590_Row1_Row273_Row154_Row0_Row2_Row5</t>
  </si>
  <si>
    <t>RES000141</t>
  </si>
  <si>
    <t>Row1466</t>
  </si>
  <si>
    <t>Row1394</t>
  </si>
  <si>
    <t>858.8</t>
  </si>
  <si>
    <t>Row141_Row512_Row3_Row254_Row143_Row2_Row2_Row5</t>
  </si>
  <si>
    <t>RES000142</t>
  </si>
  <si>
    <t>Row1366</t>
  </si>
  <si>
    <t>Row142_Row519_Row2_Row264_Row149_Row6_Row2_Row5</t>
  </si>
  <si>
    <t>RES000143</t>
  </si>
  <si>
    <t>Row1379</t>
  </si>
  <si>
    <t>1423.8</t>
  </si>
  <si>
    <t>Row143_Row588_Row0_Row272_Row153_Row5_Row3_Row5</t>
  </si>
  <si>
    <t>RES000144</t>
  </si>
  <si>
    <t>Row1463</t>
  </si>
  <si>
    <t>Row1395</t>
  </si>
  <si>
    <t>223.74</t>
  </si>
  <si>
    <t>Row144_Row342_Row1_Row56_Row41_Row4_Row1_Row2</t>
  </si>
  <si>
    <t>RES000145</t>
  </si>
  <si>
    <t>Row791</t>
  </si>
  <si>
    <t>245.89</t>
  </si>
  <si>
    <t>614.72</t>
  </si>
  <si>
    <t>407.93000000000006</t>
  </si>
  <si>
    <t>Row145_Row311_Row3_Row195_Row104_Row3_Row1_Row0</t>
  </si>
  <si>
    <t>RES000146</t>
  </si>
  <si>
    <t>Row692</t>
  </si>
  <si>
    <t>Row557</t>
  </si>
  <si>
    <t>305.37</t>
  </si>
  <si>
    <t>763.43</t>
  </si>
  <si>
    <t>85.43</t>
  </si>
  <si>
    <t>Row146_Row249_Row2_Row61_Row37_Row1_Row0_Row0</t>
  </si>
  <si>
    <t>RES000147</t>
  </si>
  <si>
    <t>Row526</t>
  </si>
  <si>
    <t>1012.48</t>
  </si>
  <si>
    <t>949.2</t>
  </si>
  <si>
    <t>Row147_Row181_Row0_Row136_Row125_Row0_Row0_Row3</t>
  </si>
  <si>
    <t>RES000148</t>
  </si>
  <si>
    <t>Row362</t>
  </si>
  <si>
    <t>Row324</t>
  </si>
  <si>
    <t>Row596</t>
  </si>
  <si>
    <t>2619.34</t>
  </si>
  <si>
    <t>1309.67</t>
  </si>
  <si>
    <t>Row148_Row39_Row1_Row153_Row93_Row2_Row0_Row1</t>
  </si>
  <si>
    <t>RES000149</t>
  </si>
  <si>
    <t>Row367</t>
  </si>
  <si>
    <t>Row265</t>
  </si>
  <si>
    <t>4674.8099999999995</t>
  </si>
  <si>
    <t>1558.27</t>
  </si>
  <si>
    <t>1288.2</t>
  </si>
  <si>
    <t>Row149_Row13_Row3_Row65_Row105_Row6_Row0_Row4</t>
  </si>
  <si>
    <t>RES000150</t>
  </si>
  <si>
    <t>Row358</t>
  </si>
  <si>
    <t>253.12</t>
  </si>
  <si>
    <t>192.1</t>
  </si>
  <si>
    <t>Row150_Row373_Row2_Row234_Row18_Row5_Row0_Row2</t>
  </si>
  <si>
    <t>RES000151</t>
  </si>
  <si>
    <t>Row885</t>
  </si>
  <si>
    <t>Row42</t>
  </si>
  <si>
    <t>1498.38</t>
  </si>
  <si>
    <t>749.19</t>
  </si>
  <si>
    <t>474.6000000000001</t>
  </si>
  <si>
    <t>Row151_Row63_Row0_Row57_Row22_Row4_Row0_Row0</t>
  </si>
  <si>
    <t>RES000152</t>
  </si>
  <si>
    <t>Row128</t>
  </si>
  <si>
    <t>2902.5299999999997</t>
  </si>
  <si>
    <t>967.51</t>
  </si>
  <si>
    <t>745.8</t>
  </si>
  <si>
    <t>Row152_Row107_Row1_Row63_Row80_Row3_Row0_Row3</t>
  </si>
  <si>
    <t>RES000153</t>
  </si>
  <si>
    <t>Row204</t>
  </si>
  <si>
    <t>842.08</t>
  </si>
  <si>
    <t>772.9200000000001</t>
  </si>
  <si>
    <t>Row153_Row157_Row3_Row133_Row28_Row1_Row0_Row1</t>
  </si>
  <si>
    <t>RES000154</t>
  </si>
  <si>
    <t>Row316</t>
  </si>
  <si>
    <t>Row74</t>
  </si>
  <si>
    <t>2420.46</t>
  </si>
  <si>
    <t>1210.23</t>
  </si>
  <si>
    <t>Row154_Row20_Row2_Row174_Row36_Row0_Row0_Row4</t>
  </si>
  <si>
    <t>RES000155</t>
  </si>
  <si>
    <t>Row432</t>
  </si>
  <si>
    <t>4868.04</t>
  </si>
  <si>
    <t>1622.68</t>
  </si>
  <si>
    <t>1352.6100000000001</t>
  </si>
  <si>
    <t>Row155_Row301_Row0_Row128_Row96_Row2_Row0_Row2</t>
  </si>
  <si>
    <t>RES000156</t>
  </si>
  <si>
    <t>Row664</t>
  </si>
  <si>
    <t>Row285</t>
  </si>
  <si>
    <t>296.06</t>
  </si>
  <si>
    <t>248.6</t>
  </si>
  <si>
    <t>Row156_Row69_Row1_Row207_Row56_Row6_Row0_Row0</t>
  </si>
  <si>
    <t>RES000157</t>
  </si>
  <si>
    <t>Row593</t>
  </si>
  <si>
    <t>1462.22</t>
  </si>
  <si>
    <t>731.11</t>
  </si>
  <si>
    <t>429.40000000000003</t>
  </si>
  <si>
    <t>Row157_Row109_Row3_Row6_Row17_Row5_Row0_Row3</t>
  </si>
  <si>
    <t>RES000158</t>
  </si>
  <si>
    <t>2627.58</t>
  </si>
  <si>
    <t>875.86</t>
  </si>
  <si>
    <t>Row158_Row341_Row2_Row204_Row73_Row4_Row0_Row1</t>
  </si>
  <si>
    <t>RES000159</t>
  </si>
  <si>
    <t>Row785</t>
  </si>
  <si>
    <t>Row175</t>
  </si>
  <si>
    <t>Row159_Row36_Row0_Row33_Row31_Row3_Row0_Row4</t>
  </si>
  <si>
    <t>RES000160</t>
  </si>
  <si>
    <t>Row80</t>
  </si>
  <si>
    <t>2486.22</t>
  </si>
  <si>
    <t>1243.11</t>
  </si>
  <si>
    <t>1180.85</t>
  </si>
  <si>
    <t>Row160_Row537_Row1_Row284_Row133_Row1_Row2_Row5</t>
  </si>
  <si>
    <t>RES000161</t>
  </si>
  <si>
    <t>Row1415</t>
  </si>
  <si>
    <t>Row161_Row551_Row3_Row283_Row132_Row0_Row2_Row5</t>
  </si>
  <si>
    <t>RES000162</t>
  </si>
  <si>
    <t>Row1409</t>
  </si>
  <si>
    <t>Row1413</t>
  </si>
  <si>
    <t>66.11</t>
  </si>
  <si>
    <t>Row162_Row529_Row2_Row261_Row151_Row2_Row2_Row5</t>
  </si>
  <si>
    <t>RES000163</t>
  </si>
  <si>
    <t>158.2</t>
  </si>
  <si>
    <t>Row163_Row564_Row0_Row288_Row147_Row6_Row3_Row5</t>
  </si>
  <si>
    <t>RES000164</t>
  </si>
  <si>
    <t>Row1425</t>
  </si>
  <si>
    <t>254.25</t>
  </si>
  <si>
    <t>Row164_Row204_Row1_Row233_Row70_Row5_Row1_Row0</t>
  </si>
  <si>
    <t>RES000165</t>
  </si>
  <si>
    <t>Row413</t>
  </si>
  <si>
    <t>Row881</t>
  </si>
  <si>
    <t>122.94</t>
  </si>
  <si>
    <t>307.36</t>
  </si>
  <si>
    <t>230.52</t>
  </si>
  <si>
    <t>Row165_Row333_Row3_Row221_Row74_Row4_Row1_Row3</t>
  </si>
  <si>
    <t>RES000166</t>
  </si>
  <si>
    <t>Row745</t>
  </si>
  <si>
    <t>172.66</t>
  </si>
  <si>
    <t>431.66</t>
  </si>
  <si>
    <t>Row166_Row71_Row2_Row237_Row50_Row3_Row0_Row3</t>
  </si>
  <si>
    <t>RES000167</t>
  </si>
  <si>
    <t>Row142</t>
  </si>
  <si>
    <t>Row913</t>
  </si>
  <si>
    <t>2229.27</t>
  </si>
  <si>
    <t>743.09</t>
  </si>
  <si>
    <t>268.49</t>
  </si>
  <si>
    <t>Row167_Row346_Row0_Row151_Row94_Row1_Row0_Row1</t>
  </si>
  <si>
    <t>RES000168</t>
  </si>
  <si>
    <t>Row802</t>
  </si>
  <si>
    <t>Row168_Row419_Row1_Row35_Row78_Row0_Row0_Row4</t>
  </si>
  <si>
    <t>RES000169</t>
  </si>
  <si>
    <t>Row1013</t>
  </si>
  <si>
    <t>Row169_Row350_Row3_Row12_Row42_Row2_Row0_Row2</t>
  </si>
  <si>
    <t>RES000170</t>
  </si>
  <si>
    <t>Row811</t>
  </si>
  <si>
    <t>1234.8000000000002</t>
  </si>
  <si>
    <t>411.6</t>
  </si>
  <si>
    <t>209.33000000000004</t>
  </si>
  <si>
    <t>Row170_Row19_Row2_Row236_Row65_Row6_Row0_Row0</t>
  </si>
  <si>
    <t>RES000171</t>
  </si>
  <si>
    <t>Row907</t>
  </si>
  <si>
    <t>Row171_Row118_Row0_Row105_Row0_Row5_Row0_Row3</t>
  </si>
  <si>
    <t>RES000172</t>
  </si>
  <si>
    <t>Row226</t>
  </si>
  <si>
    <t>Row172_Row22_Row1_Row21_Row20_Row4_Row0_Row1</t>
  </si>
  <si>
    <t>RES000173</t>
  </si>
  <si>
    <t>2012.31</t>
  </si>
  <si>
    <t>670.77</t>
  </si>
  <si>
    <t>406.79999999999995</t>
  </si>
  <si>
    <t>Row173_Row33_Row3_Row134_Row68_Row3_Row0_Row4</t>
  </si>
  <si>
    <t>RES000174</t>
  </si>
  <si>
    <t>Row320</t>
  </si>
  <si>
    <t>Row174_Row51_Row2_Row19_Row26_Row1_Row0_Row2</t>
  </si>
  <si>
    <t>RES000175</t>
  </si>
  <si>
    <t>Row105</t>
  </si>
  <si>
    <t>849.76</t>
  </si>
  <si>
    <t>424.88</t>
  </si>
  <si>
    <t>150.29000000000002</t>
  </si>
  <si>
    <t>Row175_Row10_Row0_Row9_Row9_Row0_Row0_Row0</t>
  </si>
  <si>
    <t>RES000176</t>
  </si>
  <si>
    <t>Row176_Row340_Row1_Row62_Row98_Row2_Row0_Row3</t>
  </si>
  <si>
    <t>RES000177</t>
  </si>
  <si>
    <t>Row781</t>
  </si>
  <si>
    <t>Row177_Row225_Row3_Row98_Row23_Row6_Row0_Row1</t>
  </si>
  <si>
    <t>RES000178</t>
  </si>
  <si>
    <t>Row464</t>
  </si>
  <si>
    <t>894.96</t>
  </si>
  <si>
    <t>447.48</t>
  </si>
  <si>
    <t>Row178_Row92_Row2_Row131_Row30_Row5_Row0_Row4</t>
  </si>
  <si>
    <t>RES000179</t>
  </si>
  <si>
    <t>Row309</t>
  </si>
  <si>
    <t>Row179_Row176_Row0_Row147_Row103_Row4_Row0_Row2</t>
  </si>
  <si>
    <t>RES000180</t>
  </si>
  <si>
    <t>119.5</t>
  </si>
  <si>
    <t>72.03999999999999</t>
  </si>
  <si>
    <t>Row180_Row501_Row1_Row271_Row157_Row3_Row2_Row5</t>
  </si>
  <si>
    <t>RES000181</t>
  </si>
  <si>
    <t>Row181_Row500_Row3_Row277_Row141_Row1_Row2_Row5</t>
  </si>
  <si>
    <t>RES000182</t>
  </si>
  <si>
    <t>Row1400</t>
  </si>
  <si>
    <t>Row182_Row569_Row2_Row293_Row152_Row0_Row2_Row5</t>
  </si>
  <si>
    <t>RES000183</t>
  </si>
  <si>
    <t>Row1430</t>
  </si>
  <si>
    <t>Row1438</t>
  </si>
  <si>
    <t>Row183_Row568_Row0_Row279_Row131_Row2_Row3_Row5</t>
  </si>
  <si>
    <t>RES000184</t>
  </si>
  <si>
    <t>Row1429</t>
  </si>
  <si>
    <t>Row1403</t>
  </si>
  <si>
    <t>Row184_Row405_Row1_Row167_Row108_Row6_Row1_Row3</t>
  </si>
  <si>
    <t>RES000185</t>
  </si>
  <si>
    <t>Row975</t>
  </si>
  <si>
    <t>Row185_Row72_Row3_Row64_Row60_Row5_Row1_Row1</t>
  </si>
  <si>
    <t>RES000186</t>
  </si>
  <si>
    <t>53.79</t>
  </si>
  <si>
    <t>134.47</t>
  </si>
  <si>
    <t>73.44999999999999</t>
  </si>
  <si>
    <t>Row186_Row200_Row2_Row50_Row64_Row4_Row0_Row1</t>
  </si>
  <si>
    <t>RES000187</t>
  </si>
  <si>
    <t>Row407</t>
  </si>
  <si>
    <t>Row187_Row188_Row0_Row125_Row32_Row3_Row0_Row4</t>
  </si>
  <si>
    <t>RES000188</t>
  </si>
  <si>
    <t>Row377</t>
  </si>
  <si>
    <t>1424.49</t>
  </si>
  <si>
    <t>474.83</t>
  </si>
  <si>
    <t>Row188_Row23_Row1_Row22_Row21_Row1_Row0_Row2</t>
  </si>
  <si>
    <t>RES000189</t>
  </si>
  <si>
    <t>Row189_Row294_Row3_Row186_Row5_Row0_Row0_Row0</t>
  </si>
  <si>
    <t>RES000190</t>
  </si>
  <si>
    <t>Row650</t>
  </si>
  <si>
    <t>Row514</t>
  </si>
  <si>
    <t>Row190_Row77_Row2_Row18_Row100_Row2_Row0_Row3</t>
  </si>
  <si>
    <t>RES000191</t>
  </si>
  <si>
    <t>2234.0099999999998</t>
  </si>
  <si>
    <t>744.67</t>
  </si>
  <si>
    <t>474.59999999999997</t>
  </si>
  <si>
    <t>Row191_Row352_Row0_Row206_Row122_Row6_Row0_Row1</t>
  </si>
  <si>
    <t>RES000192</t>
  </si>
  <si>
    <t>Row816</t>
  </si>
  <si>
    <t>Row592</t>
  </si>
  <si>
    <t>Row192_Row263_Row1_Row123_Row123_Row5_Row0_Row4</t>
  </si>
  <si>
    <t>RES000193</t>
  </si>
  <si>
    <t>Row564</t>
  </si>
  <si>
    <t>Row272</t>
  </si>
  <si>
    <t>Row193_Row83_Row3_Row30_Row89_Row4_Row0_Row2</t>
  </si>
  <si>
    <t>RES000194</t>
  </si>
  <si>
    <t>1248.8700000000001</t>
  </si>
  <si>
    <t>416.29</t>
  </si>
  <si>
    <t>Row194_Row30_Row2_Row132_Row43_Row3_Row0_Row0</t>
  </si>
  <si>
    <t>RES000195</t>
  </si>
  <si>
    <t>Row315</t>
  </si>
  <si>
    <t>325.89</t>
  </si>
  <si>
    <t>268.94</t>
  </si>
  <si>
    <t>Row195_Row105_Row0_Row71_Row79_Row1_Row0_Row3</t>
  </si>
  <si>
    <t>RES000196</t>
  </si>
  <si>
    <t>Row201</t>
  </si>
  <si>
    <t>Row152</t>
  </si>
  <si>
    <t>Row196_Row415_Row1_Row173_Row33_Row0_Row0_Row1</t>
  </si>
  <si>
    <t>RES000197</t>
  </si>
  <si>
    <t>Row1003</t>
  </si>
  <si>
    <t>Row429</t>
  </si>
  <si>
    <t>Row197_Row461_Row3_Row121_Row107_Row2_Row0_Row4</t>
  </si>
  <si>
    <t>RES000198</t>
  </si>
  <si>
    <t>Row1204</t>
  </si>
  <si>
    <t>Row261</t>
  </si>
  <si>
    <t>Row198_Row216_Row2_Row82_Row3_Row6_Row0_Row2</t>
  </si>
  <si>
    <t>RES000199</t>
  </si>
  <si>
    <t>Row441</t>
  </si>
  <si>
    <t>Row199_Row374_Row0_Row163_Row87_Row5_Row0_Row0</t>
  </si>
  <si>
    <t>RES000200</t>
  </si>
  <si>
    <t>Row887</t>
  </si>
  <si>
    <t>Row399</t>
  </si>
  <si>
    <t>1393.47</t>
  </si>
  <si>
    <t>464.49</t>
  </si>
  <si>
    <t>Row200_Row576_Row1_Row245_Row128_Row4_Row2_Row5</t>
  </si>
  <si>
    <t>RES000201</t>
  </si>
  <si>
    <t>Row1443</t>
  </si>
  <si>
    <t>411.32</t>
  </si>
  <si>
    <t>Row201_Row559_Row3_Row244_Row158_Row3_Row2_Row5</t>
  </si>
  <si>
    <t>RES000202</t>
  </si>
  <si>
    <t>Row1418</t>
  </si>
  <si>
    <t>Row202_Row535_Row2_Row289_Row140_Row1_Row2_Row5</t>
  </si>
  <si>
    <t>RES000203</t>
  </si>
  <si>
    <t>Row1392</t>
  </si>
  <si>
    <t>Row203_Row578_Row0_Row257_Row146_Row0_Row3_Row5</t>
  </si>
  <si>
    <t>RES000204</t>
  </si>
  <si>
    <t>Row1446</t>
  </si>
  <si>
    <t>Row1369</t>
  </si>
  <si>
    <t>Row204_Row377_Row1_Row155_Row111_Row2_Row1_Row1</t>
  </si>
  <si>
    <t>RES000205</t>
  </si>
  <si>
    <t>Row894</t>
  </si>
  <si>
    <t>Row205_Row170_Row3_Row196_Row38_Row6_Row1_Row4</t>
  </si>
  <si>
    <t>RES000206</t>
  </si>
  <si>
    <t>Row338</t>
  </si>
  <si>
    <t>Row558</t>
  </si>
  <si>
    <t>Row206_Row272_Row2_Row97_Row82_Row5_Row0_Row4</t>
  </si>
  <si>
    <t>RES000207</t>
  </si>
  <si>
    <t>Row588</t>
  </si>
  <si>
    <t>Row205</t>
  </si>
  <si>
    <t>Row207_Row283_Row0_Row34_Row63_Row4_Row0_Row2</t>
  </si>
  <si>
    <t>RES000208</t>
  </si>
  <si>
    <t>Row613</t>
  </si>
  <si>
    <t>1360.52</t>
  </si>
  <si>
    <t>680.26</t>
  </si>
  <si>
    <t>Row208_Row124_Row1_Row111_Row16_Row3_Row0_Row0</t>
  </si>
  <si>
    <t>RES000209</t>
  </si>
  <si>
    <t>Row238</t>
  </si>
  <si>
    <t>2654.37</t>
  </si>
  <si>
    <t>884.79</t>
  </si>
  <si>
    <t>267.81</t>
  </si>
  <si>
    <t>Row209_Row194_Row3_Row160_Row48_Row1_Row0_Row3</t>
  </si>
  <si>
    <t>RES000210</t>
  </si>
  <si>
    <t>Row391</t>
  </si>
  <si>
    <t>154.19</t>
  </si>
  <si>
    <t>93.16999999999999</t>
  </si>
  <si>
    <t>Row210_Row262_Row2_Row70_Row2_Row0_Row0_Row1</t>
  </si>
  <si>
    <t>RES000211</t>
  </si>
  <si>
    <t>Row563</t>
  </si>
  <si>
    <t>Row211_Row260_Row0_Row222_Row84_Row2_Row0_Row4</t>
  </si>
  <si>
    <t>RES000212</t>
  </si>
  <si>
    <t>Row724</t>
  </si>
  <si>
    <t>Row212_Row479_Row1_Row198_Row72_Row6_Row0_Row2</t>
  </si>
  <si>
    <t>RES000213</t>
  </si>
  <si>
    <t>Row1271</t>
  </si>
  <si>
    <t>Row213_Row110_Row3_Row74_Row40_Row5_Row0_Row0</t>
  </si>
  <si>
    <t>RES000214</t>
  </si>
  <si>
    <t>Row208</t>
  </si>
  <si>
    <t>Row214_Row407_Row2_Row27_Row27_Row4_Row0_Row3</t>
  </si>
  <si>
    <t>RES000215</t>
  </si>
  <si>
    <t>Row979</t>
  </si>
  <si>
    <t>2786.2200000000003</t>
  </si>
  <si>
    <t>928.74</t>
  </si>
  <si>
    <t>663.4200000000001</t>
  </si>
  <si>
    <t>Row215_Row179_Row0_Row95_Row99_Row3_Row0_Row1</t>
  </si>
  <si>
    <t>RES000216</t>
  </si>
  <si>
    <t>Row354</t>
  </si>
  <si>
    <t>153.56</t>
  </si>
  <si>
    <t>Row216_Row169_Row1_Row225_Row29_Row1_Row0_Row4</t>
  </si>
  <si>
    <t>RES000217</t>
  </si>
  <si>
    <t>Row337</t>
  </si>
  <si>
    <t>Row773</t>
  </si>
  <si>
    <t>Row217_Row182_Row3_Row183_Row66_Row0_Row0_Row2</t>
  </si>
  <si>
    <t>RES000218</t>
  </si>
  <si>
    <t>Row499</t>
  </si>
  <si>
    <t>Row218_Row3_Row2_Row104_Row6_Row2_Row0_Row0</t>
  </si>
  <si>
    <t>RES000219</t>
  </si>
  <si>
    <t>Row225</t>
  </si>
  <si>
    <t>Row219_Row49_Row0_Row45_Row44_Row6_Row0_Row3</t>
  </si>
  <si>
    <t>RES000220</t>
  </si>
  <si>
    <t>Row220_Row536_Row1_Row286_Row139_Row5_Row2_Row5</t>
  </si>
  <si>
    <t>RES000221</t>
  </si>
  <si>
    <t>Row1393</t>
  </si>
  <si>
    <t>Row1421</t>
  </si>
  <si>
    <t>Row221_Row585_Row3_Row285_Row138_Row4_Row2_Row5</t>
  </si>
  <si>
    <t>RES000222</t>
  </si>
  <si>
    <t>Row1455</t>
  </si>
  <si>
    <t>Row222_Row534_Row2_Row251_Row156_Row3_Row2_Row5</t>
  </si>
  <si>
    <t>RES000223</t>
  </si>
  <si>
    <t>Row1391</t>
  </si>
  <si>
    <t>Row223_Row587_Row0_Row259_Row134_Row1_Row3_Row5</t>
  </si>
  <si>
    <t>RES000224</t>
  </si>
  <si>
    <t>Row1459</t>
  </si>
  <si>
    <t>Row224_Row265_Row1_Row159_Row62_Row0_Row1_Row4</t>
  </si>
  <si>
    <t>RES000225</t>
  </si>
  <si>
    <t>Row567</t>
  </si>
  <si>
    <t>Row225_Row193_Row3_Row118_Row112_Row2_Row1_Row2</t>
  </si>
  <si>
    <t>RES000226</t>
  </si>
  <si>
    <t>Row258</t>
  </si>
  <si>
    <t>Row226_Row111_Row2_Row185_Row91_Row6_Row0_Row2</t>
  </si>
  <si>
    <t>RES000227</t>
  </si>
  <si>
    <t>Row511</t>
  </si>
  <si>
    <t>Row227_Row80_Row0_Row68_Row67_Row5_Row0_Row0</t>
  </si>
  <si>
    <t>RES000228</t>
  </si>
  <si>
    <t>Row228_Row299_Row1_Row16_Row117_Row4_Row0_Row3</t>
  </si>
  <si>
    <t>RES000229</t>
  </si>
  <si>
    <t>Row660</t>
  </si>
  <si>
    <t>995.76</t>
  </si>
  <si>
    <t>497.88</t>
  </si>
  <si>
    <t>292.22</t>
  </si>
  <si>
    <t>Row229_Row84_Row3_Row178_Row4_Row3_Row0_Row1</t>
  </si>
  <si>
    <t>RES000230</t>
  </si>
  <si>
    <t>Row164</t>
  </si>
  <si>
    <t>Row451</t>
  </si>
  <si>
    <t>1515.51</t>
  </si>
  <si>
    <t>505.17</t>
  </si>
  <si>
    <t>192.78</t>
  </si>
  <si>
    <t>Row230_Row323_Row2_Row164_Row49_Row1_Row0_Row4</t>
  </si>
  <si>
    <t>RES000231</t>
  </si>
  <si>
    <t>Row722</t>
  </si>
  <si>
    <t>Row406</t>
  </si>
  <si>
    <t>Row231_Row222_Row0_Row102_Row120_Row0_Row0_Row2</t>
  </si>
  <si>
    <t>RES000232</t>
  </si>
  <si>
    <t>Row456</t>
  </si>
  <si>
    <t>Row232_Row90_Row1_Row168_Row92_Row2_Row0_Row0</t>
  </si>
  <si>
    <t>RES000233</t>
  </si>
  <si>
    <t>Row417</t>
  </si>
  <si>
    <t>Row233_Row158_Row3_Row58_Row8_Row6_Row0_Row3</t>
  </si>
  <si>
    <t>RES000234</t>
  </si>
  <si>
    <t>Row318</t>
  </si>
  <si>
    <t>Row131</t>
  </si>
  <si>
    <t>Row234_Row174_Row2_Row187_Row51_Row5_Row0_Row1</t>
  </si>
  <si>
    <t>RES000235</t>
  </si>
  <si>
    <t>Row348</t>
  </si>
  <si>
    <t>Row516</t>
  </si>
  <si>
    <t>991.46</t>
  </si>
  <si>
    <t>495.73</t>
  </si>
  <si>
    <t>221.14000000000004</t>
  </si>
  <si>
    <t>Row235_Row219_Row0_Row149_Row15_Row4_Row0_Row4</t>
  </si>
  <si>
    <t>RES000236</t>
  </si>
  <si>
    <t>Row449</t>
  </si>
  <si>
    <t>Row236_Row447_Row1_Row143_Row110_Row3_Row0_Row2</t>
  </si>
  <si>
    <t>RES000237</t>
  </si>
  <si>
    <t>Row1145</t>
  </si>
  <si>
    <t>Row237_Row295_Row3_Row152_Row115_Row1_Row0_Row0</t>
  </si>
  <si>
    <t>RES000238</t>
  </si>
  <si>
    <t>Row652</t>
  </si>
  <si>
    <t>Row238_Row428_Row2_Row3_Row97_Row0_Row0_Row3</t>
  </si>
  <si>
    <t>RES000239</t>
  </si>
  <si>
    <t>Row1055</t>
  </si>
  <si>
    <t>Row239_Row189_Row0_Row107_Row45_Row2_Row0_Row1</t>
  </si>
  <si>
    <t>RES000240</t>
  </si>
  <si>
    <t>Row380</t>
  </si>
  <si>
    <t>Row240_Row511_Row1_Row250_Row142_Row6_Row2_Row5</t>
  </si>
  <si>
    <t>RES000241</t>
  </si>
  <si>
    <t>Row241_Row596_Row3_Row294_Row136_Row5_Row2_Row5</t>
  </si>
  <si>
    <t>RES000242</t>
  </si>
  <si>
    <t>Row1476</t>
  </si>
  <si>
    <t>Row1441</t>
  </si>
  <si>
    <t>Row242_Row526_Row2_Row266_Row137_Row4_Row2_Row5</t>
  </si>
  <si>
    <t>RES000243</t>
  </si>
  <si>
    <t>Row1382</t>
  </si>
  <si>
    <t>Row243_Row571_Row0_Row291_Row155_Row3_Row3_Row5</t>
  </si>
  <si>
    <t>RES000244</t>
  </si>
  <si>
    <t>Row1434</t>
  </si>
  <si>
    <t>Row244_Row224_Row1_Row66_Row121_Row1_Row1_Row2</t>
  </si>
  <si>
    <t>RES000245</t>
  </si>
  <si>
    <t>Row462</t>
  </si>
  <si>
    <t>Row245_Row59_Row3_Row53_Row52_Row0_Row1_Row0</t>
  </si>
  <si>
    <t>RES000246</t>
  </si>
  <si>
    <t>Row246_Row293_Row2_Row99_Row77_Row2_Row0_Row0</t>
  </si>
  <si>
    <t>RES000247</t>
  </si>
  <si>
    <t>Row649</t>
  </si>
  <si>
    <t>Row247_Row126_Row0_Row202_Row109_Row6_Row0_Row3</t>
  </si>
  <si>
    <t>RES000248</t>
  </si>
  <si>
    <t>Row244</t>
  </si>
  <si>
    <t>Row576</t>
  </si>
  <si>
    <t>Row248_Row121_Row1_Row109_Row86_Row5_Row0_Row1</t>
  </si>
  <si>
    <t>RES000249</t>
  </si>
  <si>
    <t>Row232</t>
  </si>
  <si>
    <t>Row249_Row177_Row3_Row75_Row90_Row4_Row0_Row4</t>
  </si>
  <si>
    <t>RES000250</t>
  </si>
  <si>
    <t>Row352</t>
  </si>
  <si>
    <t>1198.6</t>
  </si>
  <si>
    <t>599.3</t>
  </si>
  <si>
    <t>78.64999999999999</t>
  </si>
  <si>
    <t>Row250_Row273_Row2_Row101_Row39_Row3_Row0_Row2</t>
  </si>
  <si>
    <t>RES000251</t>
  </si>
  <si>
    <t>Row589</t>
  </si>
  <si>
    <t>Row215</t>
  </si>
  <si>
    <t>2900.4900000000002</t>
  </si>
  <si>
    <t>966.83</t>
  </si>
  <si>
    <t>Row251_Row210_Row0_Row171_Row101_Row1_Row0_Row0</t>
  </si>
  <si>
    <t>RES000252</t>
  </si>
  <si>
    <t>Row426</t>
  </si>
  <si>
    <t>Row252_Row326_Row1_Row80_Row113_Row0_Row0_Row3</t>
  </si>
  <si>
    <t>RES000253</t>
  </si>
  <si>
    <t>Row729</t>
  </si>
  <si>
    <t>Row253_Row8_Row3_Row182_Row102_Row2_Row0_Row1</t>
  </si>
  <si>
    <t>RES000254</t>
  </si>
  <si>
    <t>Row489</t>
  </si>
  <si>
    <t>Row254_Row122_Row2_Row92_Row85_Row6_Row0_Row4</t>
  </si>
  <si>
    <t>RES000255</t>
  </si>
  <si>
    <t>Row233</t>
  </si>
  <si>
    <t>Row196</t>
  </si>
  <si>
    <t>Row255_Row24_Row0_Row15_Row10_Row5_Row0_Row2</t>
  </si>
  <si>
    <t>RES000256</t>
  </si>
  <si>
    <t>Row52</t>
  </si>
  <si>
    <t>Row256_Row307_Row1_Row219_Row14_Row4_Row0_Row0</t>
  </si>
  <si>
    <t>RES000257</t>
  </si>
  <si>
    <t>Row676</t>
  </si>
  <si>
    <t>Row257_Row89_Row3_Row79_Row25_Row3_Row0_Row3</t>
  </si>
  <si>
    <t>RES000258</t>
  </si>
  <si>
    <t>Row171</t>
  </si>
  <si>
    <t>164.53</t>
  </si>
  <si>
    <t>Row258_Row116_Row2_Row103_Row83_Row1_Row0_Row1</t>
  </si>
  <si>
    <t>RES000259</t>
  </si>
  <si>
    <t>Row223</t>
  </si>
  <si>
    <t>Row259_Row279_Row0_Row190_Row114_Row0_Row0_Row4</t>
  </si>
  <si>
    <t>RES000260</t>
  </si>
  <si>
    <t>Row600</t>
  </si>
  <si>
    <t>Row527</t>
  </si>
  <si>
    <t>Row260_Row543_Row1_Row256_Row135_Row2_Row2_Row5</t>
  </si>
  <si>
    <t>RES000261</t>
  </si>
  <si>
    <t>Row1401</t>
  </si>
  <si>
    <t>Row1368</t>
  </si>
  <si>
    <t>Row261_Row509_Row3_Row296_Row150_Row6_Row2_Row5</t>
  </si>
  <si>
    <t>RES000262</t>
  </si>
  <si>
    <t>Row1363</t>
  </si>
  <si>
    <t>Row1444</t>
  </si>
  <si>
    <t>Row262_Row505_Row2_Row255_Row159_Row5_Row2_Row5</t>
  </si>
  <si>
    <t>RES000263</t>
  </si>
  <si>
    <t>Row1367</t>
  </si>
  <si>
    <t>1145.82</t>
  </si>
  <si>
    <t>Row263_Row497_Row0_Row241_Row129_Row4_Row3_Row5</t>
  </si>
  <si>
    <t>RES000264</t>
  </si>
  <si>
    <t>Row264_Row403_Row1_Row180_Row54_Row3_Row1_Row0</t>
  </si>
  <si>
    <t>RES000265</t>
  </si>
  <si>
    <t>Row973</t>
  </si>
  <si>
    <t>205.84</t>
  </si>
  <si>
    <t>514.6</t>
  </si>
  <si>
    <t>186.11</t>
  </si>
  <si>
    <t>328.49</t>
  </si>
  <si>
    <t>Row265_Row40_Row3_Row36_Row35_Row1_Row1_Row3</t>
  </si>
  <si>
    <t>RES000266</t>
  </si>
  <si>
    <t>256.28</t>
  </si>
  <si>
    <t>640.71</t>
  </si>
  <si>
    <t>545.7900000000001</t>
  </si>
  <si>
    <t>Row266_Row412_Row2_Row93_Row57_Row0_Row0_Row3</t>
  </si>
  <si>
    <t>RES000267</t>
  </si>
  <si>
    <t>Row995</t>
  </si>
  <si>
    <t>827.16</t>
  </si>
  <si>
    <t>Row267_Row303_Row0_Row113_Row55_Row2_Row0_Row1</t>
  </si>
  <si>
    <t>RES000268</t>
  </si>
  <si>
    <t>Row667</t>
  </si>
  <si>
    <t>Row268_Row304_Row1_Row217_Row76_Row6_Row0_Row4</t>
  </si>
  <si>
    <t>RES000269</t>
  </si>
  <si>
    <t>Row670</t>
  </si>
  <si>
    <t>Row269_Row164_Row3_Row138_Row61_Row5_Row0_Row2</t>
  </si>
  <si>
    <t>RES000270</t>
  </si>
  <si>
    <t>Row328</t>
  </si>
  <si>
    <t>215.66</t>
  </si>
  <si>
    <t>154.64</t>
  </si>
  <si>
    <t>Row270_Row14_Row2_Row13_Row13_Row4_Row0_Row0</t>
  </si>
  <si>
    <t>RES000271</t>
  </si>
  <si>
    <t>1295.44</t>
  </si>
  <si>
    <t>647.72</t>
  </si>
  <si>
    <t>381.94000000000005</t>
  </si>
  <si>
    <t>Row271_Row218_Row0_Row214_Row126_Row3_Row0_Row3</t>
  </si>
  <si>
    <t>RES000272</t>
  </si>
  <si>
    <t>Row447</t>
  </si>
  <si>
    <t>2461.83</t>
  </si>
  <si>
    <t>820.61</t>
  </si>
  <si>
    <t>Row272_Row1_Row1_Row1_Row1_Row1_Row0_Row1</t>
  </si>
  <si>
    <t>RES000273</t>
  </si>
  <si>
    <t>Row273_Row376_Row3_Row7_Row118_Row0_Row0_Row4</t>
  </si>
  <si>
    <t>RES000274</t>
  </si>
  <si>
    <t>Row892</t>
  </si>
  <si>
    <t>1979.76</t>
  </si>
  <si>
    <t>989.88</t>
  </si>
  <si>
    <t>Row274_Row379_Row2_Row230_Row75_Row2_Row0_Row2</t>
  </si>
  <si>
    <t>RES000275</t>
  </si>
  <si>
    <t>Row898</t>
  </si>
  <si>
    <t>Row845</t>
  </si>
  <si>
    <t>4075.7999999999997</t>
  </si>
  <si>
    <t>1358.6</t>
  </si>
  <si>
    <t>1088.53</t>
  </si>
  <si>
    <t>Row275_Row93_Row0_Row10_Row46_Row6_Row0_Row0</t>
  </si>
  <si>
    <t>RES000276</t>
  </si>
  <si>
    <t>Row177</t>
  </si>
  <si>
    <t>247.47</t>
  </si>
  <si>
    <t>Row276_Row361_Row1_Row154_Row127_Row5_Row0_Row3</t>
  </si>
  <si>
    <t>RES000277</t>
  </si>
  <si>
    <t>Row858</t>
  </si>
  <si>
    <t>Row370</t>
  </si>
  <si>
    <t>Row277_Row9_Row3_Row8_Row7_Row4_Row0_Row1</t>
  </si>
  <si>
    <t>RES000278</t>
  </si>
  <si>
    <t>2225.19</t>
  </si>
  <si>
    <t>741.73</t>
  </si>
  <si>
    <t>Row278_Row161_Row2_Row232_Row119_Row3_Row0_Row4</t>
  </si>
  <si>
    <t>RES000279</t>
  </si>
  <si>
    <t>Row321</t>
  </si>
  <si>
    <t>Row853</t>
  </si>
  <si>
    <t>744.44</t>
  </si>
  <si>
    <t>687.49</t>
  </si>
  <si>
    <t>Row279_Row186_Row0_Row156_Row24_Row1_Row0_Row2</t>
  </si>
  <si>
    <t>RES000280</t>
  </si>
  <si>
    <t>Row373</t>
  </si>
  <si>
    <t>2033.44</t>
  </si>
  <si>
    <t>1016.72</t>
  </si>
  <si>
    <t>950.0500000000001</t>
  </si>
  <si>
    <t>Row280_Row554_Row1_Row282_Row130_Row0_Row2_Row5</t>
  </si>
  <si>
    <t>RES000281</t>
  </si>
  <si>
    <t>Row1412</t>
  </si>
  <si>
    <t>Row281_Row520_Row3_Row252_Row145_Row2_Row2_Row5</t>
  </si>
  <si>
    <t>RES000282</t>
  </si>
  <si>
    <t>Row1375</t>
  </si>
  <si>
    <t>Row282_Row618_Row2_Row249_Row148_Row6_Row2_Row5</t>
  </si>
  <si>
    <t>RES000283</t>
  </si>
  <si>
    <t>Row1526</t>
  </si>
  <si>
    <t>Row283_Row515_Row0_Row258_Row144_Row5_Row3_Row5</t>
  </si>
  <si>
    <t>RES000284</t>
  </si>
  <si>
    <t>Row284_Row53_Row1_Row48_Row47_Row4_Row1_Row3</t>
  </si>
  <si>
    <t>RES000285</t>
  </si>
  <si>
    <t>Row285_Row247_Row3_Row189_Row95_Row3_Row1_Row1</t>
  </si>
  <si>
    <t>RES000286</t>
  </si>
  <si>
    <t>Row523</t>
  </si>
  <si>
    <t>387.05</t>
  </si>
  <si>
    <t>967.62</t>
  </si>
  <si>
    <t>57.97</t>
  </si>
  <si>
    <t>Row286_Row386_Row2_Row220_Row71_Row1_Row0_Row1</t>
  </si>
  <si>
    <t>RES000287</t>
  </si>
  <si>
    <t>Row910</t>
  </si>
  <si>
    <t>Row682</t>
  </si>
  <si>
    <t>Row287_Row369_Row0_Row215_Row53_Row0_Row0_Row4</t>
  </si>
  <si>
    <t>RES000288</t>
  </si>
  <si>
    <t>Row871</t>
  </si>
  <si>
    <t>Row288_Row238_Row1_Row90_Row34_Row2_Row0_Row2</t>
  </si>
  <si>
    <t>RES000289</t>
  </si>
  <si>
    <t>Row502</t>
  </si>
  <si>
    <t>Row289_Row387_Row3_Row238_Row12_Row6_Row0_Row0</t>
  </si>
  <si>
    <t>RES000290</t>
  </si>
  <si>
    <t>Row918</t>
  </si>
  <si>
    <t>2162.31</t>
  </si>
  <si>
    <t>720.77</t>
  </si>
  <si>
    <t>Row290_Row430_Row2_Row200_Row116_Row5_Row0_Row3</t>
  </si>
  <si>
    <t>RES000291</t>
  </si>
  <si>
    <t>Row1065</t>
  </si>
  <si>
    <t>Row571</t>
  </si>
  <si>
    <t>Row291_Row12_Row0_Row11_Row11_Row4_Row0_Row1</t>
  </si>
  <si>
    <t>RES000292</t>
  </si>
  <si>
    <t>2128.92</t>
  </si>
  <si>
    <t>1064.46</t>
  </si>
  <si>
    <t>Row292_Row155_Row1_Row130_Row59_Row3_Row0_Row4</t>
  </si>
  <si>
    <t>RES000293</t>
  </si>
  <si>
    <t>Row312</t>
  </si>
  <si>
    <t>Row306</t>
  </si>
  <si>
    <t>3915.4500000000003</t>
  </si>
  <si>
    <t>1305.15</t>
  </si>
  <si>
    <t>Row293_Row85_Row3_Row76_Row69_Row1_Row0_Row2</t>
  </si>
  <si>
    <t>RES000294</t>
  </si>
  <si>
    <t>Row294_Row478_Row2_Row224_Row19_Row0_Row0_Row0</t>
  </si>
  <si>
    <t>RES000295</t>
  </si>
  <si>
    <t>Row1267</t>
  </si>
  <si>
    <t>Row746</t>
  </si>
  <si>
    <t>Row295_Row123_Row0_Row47_Row88_Row2_Row0_Row3</t>
  </si>
  <si>
    <t>RES000296</t>
  </si>
  <si>
    <t>Row296_Row203_Row1_Row166_Row58_Row6_Row0_Row1</t>
  </si>
  <si>
    <t>RES000297</t>
  </si>
  <si>
    <t>Row410</t>
  </si>
  <si>
    <t>Row297_Row196_Row3_Row140_Row81_Row5_Row0_Row4</t>
  </si>
  <si>
    <t>RES000298</t>
  </si>
  <si>
    <t>Row397</t>
  </si>
  <si>
    <t>Row330</t>
  </si>
  <si>
    <t>Row298_Row418_Row2_Row135_Row124_Row4_Row0_Row2</t>
  </si>
  <si>
    <t>RES000299</t>
  </si>
  <si>
    <t>Row1010</t>
  </si>
  <si>
    <t>Row299_Row388_Row0_Row226_Row106_Row3_Row0_Row0</t>
  </si>
  <si>
    <t>RES000300</t>
  </si>
  <si>
    <t>Row921</t>
  </si>
  <si>
    <t>Row809</t>
  </si>
  <si>
    <t>212.72</t>
  </si>
  <si>
    <t>Row300_Row556_Row1_Row242_Row154_Row1_Row2_Row5</t>
  </si>
  <si>
    <t>RES000301</t>
  </si>
  <si>
    <t>Row1414</t>
  </si>
  <si>
    <t>429.4</t>
  </si>
  <si>
    <t>Row301_Row586_Row3_Row269_Row143_Row0_Row2_Row5</t>
  </si>
  <si>
    <t>RES000302</t>
  </si>
  <si>
    <t>Row1458</t>
  </si>
  <si>
    <t>Row302_Row549_Row2_Row281_Row149_Row2_Row2_Row5</t>
  </si>
  <si>
    <t>RES000303</t>
  </si>
  <si>
    <t>Row303_Row541_Row0_Row275_Row153_Row6_Row3_Row5</t>
  </si>
  <si>
    <t>RES000304</t>
  </si>
  <si>
    <t>Row304_Row46_Row1_Row42_Row41_Row5_Row1_Row1</t>
  </si>
  <si>
    <t>RES000305</t>
  </si>
  <si>
    <t>498.56</t>
  </si>
  <si>
    <t>1246.39</t>
  </si>
  <si>
    <t>1223.7900000000002</t>
  </si>
  <si>
    <t>Row305_Row246_Row3_Row188_Row104_Row4_Row1_Row4</t>
  </si>
  <si>
    <t>RES000306</t>
  </si>
  <si>
    <t>105.77</t>
  </si>
  <si>
    <t>264.42</t>
  </si>
  <si>
    <t>203.4</t>
  </si>
  <si>
    <t>Row306_Row42_Row2_Row38_Row37_Row3_Row0_Row4</t>
  </si>
  <si>
    <t>RES000307</t>
  </si>
  <si>
    <t>1461.1</t>
  </si>
  <si>
    <t>730.55</t>
  </si>
  <si>
    <t>Row307_Row277_Row0_Row122_Row125_Row1_Row0_Row2</t>
  </si>
  <si>
    <t>RES000308</t>
  </si>
  <si>
    <t>2925.57</t>
  </si>
  <si>
    <t>975.19</t>
  </si>
  <si>
    <t>745.8000000000001</t>
  </si>
  <si>
    <t>Row308_Row298_Row1_Row175_Row93_Row0_Row0_Row0</t>
  </si>
  <si>
    <t>RES000309</t>
  </si>
  <si>
    <t>Row659</t>
  </si>
  <si>
    <t>935.64</t>
  </si>
  <si>
    <t>Row309_Row259_Row3_Row43_Row105_Row2_Row0_Row3</t>
  </si>
  <si>
    <t>RES000310</t>
  </si>
  <si>
    <t>Row551</t>
  </si>
  <si>
    <t>2307.46</t>
  </si>
  <si>
    <t>1153.73</t>
  </si>
  <si>
    <t>1073.5</t>
  </si>
  <si>
    <t>Row310_Row427_Row2_Row179_Row18_Row6_Row0_Row1</t>
  </si>
  <si>
    <t>RES000311</t>
  </si>
  <si>
    <t>Row1047</t>
  </si>
  <si>
    <t>5081.61</t>
  </si>
  <si>
    <t>1693.87</t>
  </si>
  <si>
    <t>Row311_Row135_Row0_Row120_Row22_Row5_Row0_Row4</t>
  </si>
  <si>
    <t>RES000312</t>
  </si>
  <si>
    <t>Row312_Row280_Row1_Row49_Row80_Row4_Row0_Row2</t>
  </si>
  <si>
    <t>RES000313</t>
  </si>
  <si>
    <t>Row602</t>
  </si>
  <si>
    <t>1443.24</t>
  </si>
  <si>
    <t>721.62</t>
  </si>
  <si>
    <t>Row313_Row413_Row3_Row210_Row28_Row3_Row0_Row0</t>
  </si>
  <si>
    <t>RES000314</t>
  </si>
  <si>
    <t>Row999</t>
  </si>
  <si>
    <t>2612.34</t>
  </si>
  <si>
    <t>870.78</t>
  </si>
  <si>
    <t>Row314_Row41_Row2_Row37_Row36_Row1_Row0_Row3</t>
  </si>
  <si>
    <t>RES000315</t>
  </si>
  <si>
    <t>870.1</t>
  </si>
  <si>
    <t>806.82</t>
  </si>
  <si>
    <t>Row315_Row399_Row0_Row239_Row96_Row0_Row0_Row1</t>
  </si>
  <si>
    <t>RES000316</t>
  </si>
  <si>
    <t>Row316_Row141_Row1_Row124_Row56_Row2_Row0_Row4</t>
  </si>
  <si>
    <t>RES000317</t>
  </si>
  <si>
    <t>Row317_Row151_Row3_Row67_Row17_Row6_Row0_Row2</t>
  </si>
  <si>
    <t>RES000318</t>
  </si>
  <si>
    <t>Row300</t>
  </si>
  <si>
    <t>287.02</t>
  </si>
  <si>
    <t>225.99999999999997</t>
  </si>
  <si>
    <t>Row318_Row449_Row2_Row32_Row73_Row5_Row0_Row0</t>
  </si>
  <si>
    <t>RES000319</t>
  </si>
  <si>
    <t>Row1156</t>
  </si>
  <si>
    <t>Row319_Row96_Row0_Row85_Row31_Row4_Row0_Row3</t>
  </si>
  <si>
    <t>RES000320</t>
  </si>
  <si>
    <t>2790.66</t>
  </si>
  <si>
    <t>930.22</t>
  </si>
  <si>
    <t>708.51</t>
  </si>
  <si>
    <t>Row320_Row521_Row1_Row262_Row133_Row3_Row2_Row5</t>
  </si>
  <si>
    <t>RES000321</t>
  </si>
  <si>
    <t>Row321_Row604_Row3_Row295_Row132_Row1_Row2_Row5</t>
  </si>
  <si>
    <t>RES000322</t>
  </si>
  <si>
    <t>Row1489</t>
  </si>
  <si>
    <t>Row322_Row603_Row2_Row297_Row151_Row0_Row2_Row5</t>
  </si>
  <si>
    <t>RES000323</t>
  </si>
  <si>
    <t>Row1488</t>
  </si>
  <si>
    <t>Row323_Row522_Row0_Row263_Row147_Row2_Row3_Row5</t>
  </si>
  <si>
    <t>RES000324</t>
  </si>
  <si>
    <t>Row324_Row378_Row1_Row235_Row70_Row6_Row1_Row4</t>
  </si>
  <si>
    <t>RES000325</t>
  </si>
  <si>
    <t>Row325_Row484_Row3_Row148_Row74_Row5_Row1_Row2</t>
  </si>
  <si>
    <t>RES000326</t>
  </si>
  <si>
    <t>Row1300</t>
  </si>
  <si>
    <t>Row326_Row439_Row2_Row69_Row50_Row4_Row0_Row2</t>
  </si>
  <si>
    <t>RES000327</t>
  </si>
  <si>
    <t>Row1105</t>
  </si>
  <si>
    <t>Row327_Row190_Row0_Row158_Row94_Row3_Row0_Row0</t>
  </si>
  <si>
    <t>RES000328</t>
  </si>
  <si>
    <t>972.02</t>
  </si>
  <si>
    <t>486.01</t>
  </si>
  <si>
    <t>Row328_Row104_Row1_Row94_Row78_Row1_Row0_Row3</t>
  </si>
  <si>
    <t>RES000329</t>
  </si>
  <si>
    <t>Row329_Row454_Row3_Row108_Row42_Row0_Row0_Row1</t>
  </si>
  <si>
    <t>RES000330</t>
  </si>
  <si>
    <t>Row1185</t>
  </si>
  <si>
    <t>Row330_Row313_Row2_Row172_Row65_Row2_Row0_Row4</t>
  </si>
  <si>
    <t>RES000331</t>
  </si>
  <si>
    <t>Row694</t>
  </si>
  <si>
    <t>Row331_Row401_Row0_Row24_Row0_Row6_Row0_Row2</t>
  </si>
  <si>
    <t>RES000332</t>
  </si>
  <si>
    <t>Row966</t>
  </si>
  <si>
    <t>Row332_Row266_Row1_Row199_Row20_Row5_Row0_Row0</t>
  </si>
  <si>
    <t>RES000333</t>
  </si>
  <si>
    <t>Row333_Row381_Row3_Row114_Row68_Row4_Row0_Row3</t>
  </si>
  <si>
    <t>RES000334</t>
  </si>
  <si>
    <t>Row902</t>
  </si>
  <si>
    <t>891.8</t>
  </si>
  <si>
    <t>445.9</t>
  </si>
  <si>
    <t>Row334_Row443_Row2_Row44_Row26_Row3_Row0_Row1</t>
  </si>
  <si>
    <t>RES000335</t>
  </si>
  <si>
    <t>Row1123</t>
  </si>
  <si>
    <t>2158.08</t>
  </si>
  <si>
    <t>719.36</t>
  </si>
  <si>
    <t>450.87</t>
  </si>
  <si>
    <t>Row335_Row395_Row0_Row201_Row9_Row1_Row0_Row4</t>
  </si>
  <si>
    <t>RES000336</t>
  </si>
  <si>
    <t>Row939</t>
  </si>
  <si>
    <t>Row336_Row457_Row1_Row60_Row98_Row0_Row0_Row2</t>
  </si>
  <si>
    <t>RES000337</t>
  </si>
  <si>
    <t>Row1192</t>
  </si>
  <si>
    <t>Row337_Row251_Row3_Row17_Row23_Row2_Row0_Row0</t>
  </si>
  <si>
    <t>RES000338</t>
  </si>
  <si>
    <t>Row531</t>
  </si>
  <si>
    <t>Row338_Row441_Row2_Row110_Row30_Row6_Row0_Row3</t>
  </si>
  <si>
    <t>RES000339</t>
  </si>
  <si>
    <t>Row1119</t>
  </si>
  <si>
    <t>Row339_Row325_Row0_Row218_Row103_Row5_Row0_Row1</t>
  </si>
  <si>
    <t>RES000340</t>
  </si>
  <si>
    <t>Row727</t>
  </si>
  <si>
    <t>938.46</t>
  </si>
  <si>
    <t>469.23</t>
  </si>
  <si>
    <t>402.56</t>
  </si>
  <si>
    <t>Row340_Row583_Row1_Row299_Row157_Row4_Row2_Row5</t>
  </si>
  <si>
    <t>RES000341</t>
  </si>
  <si>
    <t>Row341_Row601_Row3_Row280_Row141_Row3_Row2_Row5</t>
  </si>
  <si>
    <t>RES000342</t>
  </si>
  <si>
    <t>Row1485</t>
  </si>
  <si>
    <t>Row342_Row532_Row2_Row270_Row152_Row1_Row2_Row5</t>
  </si>
  <si>
    <t>RES000343</t>
  </si>
  <si>
    <t>Row343_Row614_Row0_Row260_Row131_Row0_Row3_Row5</t>
  </si>
  <si>
    <t>RES000344</t>
  </si>
  <si>
    <t>Row1514</t>
  </si>
  <si>
    <t>Row344_Row421_Row1_Row77_Row108_Row2_Row1_Row2</t>
  </si>
  <si>
    <t>RES000345</t>
  </si>
  <si>
    <t>Row1019</t>
  </si>
  <si>
    <t>Row345_Row451_Row3_Row83_Row60_Row6_Row1_Row0</t>
  </si>
  <si>
    <t>RES000346</t>
  </si>
  <si>
    <t>Row1164</t>
  </si>
  <si>
    <t>Row346_Row435_Row2_Row129_Row64_Row5_Row0_Row0</t>
  </si>
  <si>
    <t>RES000347</t>
  </si>
  <si>
    <t>Row1087</t>
  </si>
  <si>
    <t>Row347_Row456_Row0_Row161_Row32_Row4_Row0_Row3</t>
  </si>
  <si>
    <t>RES000348</t>
  </si>
  <si>
    <t>Row1191</t>
  </si>
  <si>
    <t>Row348_Row310_Row1_Row212_Row21_Row3_Row0_Row1</t>
  </si>
  <si>
    <t>RES000349</t>
  </si>
  <si>
    <t>Row687</t>
  </si>
  <si>
    <t>Row349_Row5_Row3_Row5_Row5_Row1_Row0_Row4</t>
  </si>
  <si>
    <t>RES000350</t>
  </si>
  <si>
    <t>Row350_Row166_Row2_Row2_Row100_Row0_Row0_Row2</t>
  </si>
  <si>
    <t>RES000351</t>
  </si>
  <si>
    <t>Row351_Row480_Row0_Row0_Row122_Row2_Row0_Row0</t>
  </si>
  <si>
    <t>RES000352</t>
  </si>
  <si>
    <t>Row1278</t>
  </si>
  <si>
    <t>Row352_Row261_Row1_Row197_Row123_Row6_Row0_Row3</t>
  </si>
  <si>
    <t>RES000353</t>
  </si>
  <si>
    <t>Row353_Row152_Row3_Row41_Row89_Row5_Row0_Row1</t>
  </si>
  <si>
    <t>RES000354</t>
  </si>
  <si>
    <t>Row304</t>
  </si>
  <si>
    <t>Row354_Row66_Row2_Row59_Row43_Row4_Row0_Row4</t>
  </si>
  <si>
    <t>RES000355</t>
  </si>
  <si>
    <t>832.14</t>
  </si>
  <si>
    <t>416.07</t>
  </si>
  <si>
    <t>Row355_Row327_Row0_Row223_Row79_Row3_Row0_Row2</t>
  </si>
  <si>
    <t>RES000356</t>
  </si>
  <si>
    <t>Row356_Row38_Row1_Row31_Row33_Row1_Row0_Row0</t>
  </si>
  <si>
    <t>RES000357</t>
  </si>
  <si>
    <t>Row357_Row252_Row3_Row25_Row107_Row0_Row0_Row3</t>
  </si>
  <si>
    <t>RES000358</t>
  </si>
  <si>
    <t>Row534</t>
  </si>
  <si>
    <t>Row358_Row336_Row2_Row89_Row3_Row2_Row0_Row1</t>
  </si>
  <si>
    <t>RES000359</t>
  </si>
  <si>
    <t>Row762</t>
  </si>
  <si>
    <t>Row359_Row144_Row0_Row127_Row87_Row6_Row0_Row4</t>
  </si>
  <si>
    <t>RES000360</t>
  </si>
  <si>
    <t>Row360_Row542_Row1_Row276_Row128_Row5_Row2_Row5</t>
  </si>
  <si>
    <t>RES000361</t>
  </si>
  <si>
    <t>Row361_Row577_Row3_Row253_Row158_Row4_Row2_Row5</t>
  </si>
  <si>
    <t>RES000362</t>
  </si>
  <si>
    <t>Row1445</t>
  </si>
  <si>
    <t>Row362_Row582_Row2_Row298_Row140_Row3_Row2_Row5</t>
  </si>
  <si>
    <t>RES000363</t>
  </si>
  <si>
    <t>465.56</t>
  </si>
  <si>
    <t>Row363_Row608_Row0_Row243_Row146_Row1_Row3_Row5</t>
  </si>
  <si>
    <t>RES000364</t>
  </si>
  <si>
    <t>Row1499</t>
  </si>
  <si>
    <t>Row364_Row215_Row1_Row176_Row111_Row0_Row1_Row0</t>
  </si>
  <si>
    <t>RES000365</t>
  </si>
  <si>
    <t>Row365_Row43_Row3_Row39_Row38_Row2_Row1_Row3</t>
  </si>
  <si>
    <t>RES000366</t>
  </si>
  <si>
    <t>Row366_Row389_Row2_Row72_Row82_Row6_Row0_Row3</t>
  </si>
  <si>
    <t>RES000367</t>
  </si>
  <si>
    <t>Row922</t>
  </si>
  <si>
    <t>Row367_Row331_Row0_Row73_Row63_Row5_Row0_Row1</t>
  </si>
  <si>
    <t>RES000368</t>
  </si>
  <si>
    <t>Row739</t>
  </si>
  <si>
    <t>1777.38</t>
  </si>
  <si>
    <t>592.46</t>
  </si>
  <si>
    <t>Row368_Row217_Row1_Row177_Row16_Row4_Row0_Row4</t>
  </si>
  <si>
    <t>RES000369</t>
  </si>
  <si>
    <t>447.03</t>
  </si>
  <si>
    <t>370.18999999999994</t>
  </si>
  <si>
    <t>Row369_Row229_Row3_Row4_Row48_Row3_Row0_Row2</t>
  </si>
  <si>
    <t>RES000370</t>
  </si>
  <si>
    <t>Row478</t>
  </si>
  <si>
    <t>1188.88</t>
  </si>
  <si>
    <t>594.44</t>
  </si>
  <si>
    <t>520.6500000000001</t>
  </si>
  <si>
    <t>Row370_Row486_Row2_Row213_Row2_Row1_Row0_Row0</t>
  </si>
  <si>
    <t>RES000371</t>
  </si>
  <si>
    <t>Row1303</t>
  </si>
  <si>
    <t>Row371_Row440_Row0_Row192_Row84_Row0_Row0_Row3</t>
  </si>
  <si>
    <t>RES000372</t>
  </si>
  <si>
    <t>Row1118</t>
  </si>
  <si>
    <t>Row372_Row209_Row1_Row170_Row72_Row2_Row0_Row1</t>
  </si>
  <si>
    <t>RES000373</t>
  </si>
  <si>
    <t>Row373_Row149_Row3_Row112_Row40_Row6_Row0_Row4</t>
  </si>
  <si>
    <t>RES000374</t>
  </si>
  <si>
    <t>Row293</t>
  </si>
  <si>
    <t>Row374_Row356_Row2_Row52_Row27_Row5_Row0_Row2</t>
  </si>
  <si>
    <t>RES000375</t>
  </si>
  <si>
    <t>Row827</t>
  </si>
  <si>
    <t>Row375_Row248_Row0_Row96_Row99_Row4_Row0_Row0</t>
  </si>
  <si>
    <t>RES000376</t>
  </si>
  <si>
    <t>Row524</t>
  </si>
  <si>
    <t>Row376_Row445_Row1_Row193_Row29_Row3_Row0_Row3</t>
  </si>
  <si>
    <t>RES000377</t>
  </si>
  <si>
    <t>Row1140</t>
  </si>
  <si>
    <t>Row377_Row91_Row3_Row81_Row66_Row1_Row0_Row1</t>
  </si>
  <si>
    <t>RES000378</t>
  </si>
  <si>
    <t>Row378_Row95_Row2_Row84_Row6_Row0_Row0_Row4</t>
  </si>
  <si>
    <t>RES000379</t>
  </si>
  <si>
    <t>Row379_Row406_Row0_Row229_Row44_Row2_Row0_Row2</t>
  </si>
  <si>
    <t>RES000380</t>
  </si>
  <si>
    <t>Row976</t>
  </si>
  <si>
    <t>Row380_Row525_Row1_Row240_Row139_Row6_Row2_Row5</t>
  </si>
  <si>
    <t>RES000381</t>
  </si>
  <si>
    <t>Row1381</t>
  </si>
  <si>
    <t>Row381_Row506_Row3_Row248_Row138_Row5_Row2_Row5</t>
  </si>
  <si>
    <t>RES000382</t>
  </si>
  <si>
    <t>Row382_Row619_Row2_Row274_Row156_Row4_Row2_Row5</t>
  </si>
  <si>
    <t>RES000383</t>
  </si>
  <si>
    <t>Row1527</t>
  </si>
  <si>
    <t>Row383_Row502_Row0_Row246_Row134_Row3_Row3_Row5</t>
  </si>
  <si>
    <t>RES000384</t>
  </si>
  <si>
    <t>Row384_Row274_Row1_Row205_Row62_Row1_Row1_Row3</t>
  </si>
  <si>
    <t>RES000385</t>
  </si>
  <si>
    <t>Row385_Row414_Row3_Row165_Row112_Row0_Row1_Row1</t>
  </si>
  <si>
    <t>RES000386</t>
  </si>
  <si>
    <t>Row1002</t>
  </si>
  <si>
    <t>Row386_Row131_Row2_Row117_Row91_Row2_Row0_Row1</t>
  </si>
  <si>
    <t>RES000387</t>
  </si>
  <si>
    <t>Row387_Row372_Row0_Row157_Row67_Row6_Row0_Row4</t>
  </si>
  <si>
    <t>RES000388</t>
  </si>
  <si>
    <t>Row879</t>
  </si>
  <si>
    <t>Row388_Row234_Row1_Row169_Row117_Row5_Row0_Row2</t>
  </si>
  <si>
    <t>RES000389</t>
  </si>
  <si>
    <t>Row389_Row21_Row3_Row20_Row4_Row4_Row0_Row0</t>
  </si>
  <si>
    <t>RES000390</t>
  </si>
  <si>
    <t>Row390_Row56_Row2_Row40_Row49_Row3_Row0_Row3</t>
  </si>
  <si>
    <t>RES000391</t>
  </si>
  <si>
    <t>977.46</t>
  </si>
  <si>
    <t>488.73</t>
  </si>
  <si>
    <t>Row391_Row284_Row0_Row209_Row120_Row1_Row0_Row1</t>
  </si>
  <si>
    <t>RES000392</t>
  </si>
  <si>
    <t>Row392_Row134_Row1_Row119_Row92_Row0_Row0_Row4</t>
  </si>
  <si>
    <t>RES000393</t>
  </si>
  <si>
    <t>Row393_Row292_Row3_Row211_Row8_Row2_Row0_Row2</t>
  </si>
  <si>
    <t>RES000394</t>
  </si>
  <si>
    <t>Row644</t>
  </si>
  <si>
    <t>Row394_Row477_Row2_Row28_Row51_Row6_Row0_Row0</t>
  </si>
  <si>
    <t>RES000395</t>
  </si>
  <si>
    <t>Row1263</t>
  </si>
  <si>
    <t>2800.4700000000003</t>
  </si>
  <si>
    <t>933.49</t>
  </si>
  <si>
    <t>Row395_Row231_Row0_Row137_Row15_Row5_Row0_Row3</t>
  </si>
  <si>
    <t>RES000396</t>
  </si>
  <si>
    <t>Row485</t>
  </si>
  <si>
    <t>Row396_Row433_Row1_Row87_Row110_Row4_Row0_Row1</t>
  </si>
  <si>
    <t>RES000397</t>
  </si>
  <si>
    <t>Row1082</t>
  </si>
  <si>
    <t>Row397_Row370_Row3_Row184_Row115_Row3_Row0_Row4</t>
  </si>
  <si>
    <t>RES000398</t>
  </si>
  <si>
    <t>Row873</t>
  </si>
  <si>
    <t>1564.83</t>
  </si>
  <si>
    <t>521.61</t>
  </si>
  <si>
    <t>Row398_Row458_Row2_Row51_Row97_Row1_Row0_Row2</t>
  </si>
  <si>
    <t>RES000399</t>
  </si>
  <si>
    <t>Row1194</t>
  </si>
  <si>
    <t>Row399_Row50_Row0_Row46_Row45_Row0_Row0_Row0</t>
  </si>
  <si>
    <t>RES000400</t>
  </si>
  <si>
    <t>Row400_Row553_Row1_Row247_Row142_Row2_Row2_Row5</t>
  </si>
  <si>
    <t>RES000401</t>
  </si>
  <si>
    <t>Row1411</t>
  </si>
  <si>
    <t>Row401_Row600_Row3_Row268_Row136_Row6_Row2_Row5</t>
  </si>
  <si>
    <t>RES000402</t>
  </si>
  <si>
    <t>Row1483</t>
  </si>
  <si>
    <t>Row402_Row570_Row2_Row290_Row137_Row5_Row2_Row5</t>
  </si>
  <si>
    <t>RES000403</t>
  </si>
  <si>
    <t>Row403_Row546_Row0_Row267_Row155_Row4_Row3_Row5</t>
  </si>
  <si>
    <t>RES000404</t>
  </si>
  <si>
    <t>Row404_Row349_Row1_Row227_Row121_Row3_Row1_Row1</t>
  </si>
  <si>
    <t>RES000405</t>
  </si>
  <si>
    <t>167.51</t>
  </si>
  <si>
    <t>418.78</t>
  </si>
  <si>
    <t>Row405_Row297_Row3_Row181_Row52_Row1_Row1_Row4</t>
  </si>
  <si>
    <t>RES000406</t>
  </si>
  <si>
    <t>Row656</t>
  </si>
  <si>
    <t>Row406_Row129_Row2_Row116_Row77_Row0_Row0_Row4</t>
  </si>
  <si>
    <t>RES000407</t>
  </si>
  <si>
    <t>Row407_Row359_Row0_Row88_Row109_Row2_Row0_Row2</t>
  </si>
  <si>
    <t>RES000408</t>
  </si>
  <si>
    <t>Row834</t>
  </si>
  <si>
    <t>Row408_Row119_Row1_Row106_Row86_Row6_Row0_Row0</t>
  </si>
  <si>
    <t>RES000409</t>
  </si>
  <si>
    <t>Row409_Row335_Row3_Row162_Row90_Row5_Row0_Row3</t>
  </si>
  <si>
    <t>RES000410</t>
  </si>
  <si>
    <t>Row751</t>
  </si>
  <si>
    <t>1530.75</t>
  </si>
  <si>
    <t>510.25</t>
  </si>
  <si>
    <t>Row410_Row397_Row2_Row150_Row39_Row4_Row0_Row1</t>
  </si>
  <si>
    <t>RES000411</t>
  </si>
  <si>
    <t>Row952</t>
  </si>
  <si>
    <t>Row411_Row253_Row0_Row191_Row101_Row3_Row0_Row4</t>
  </si>
  <si>
    <t>RES000412</t>
  </si>
  <si>
    <t>Row412_Row487_Row1_Row23_Row113_Row1_Row0_Row2</t>
  </si>
  <si>
    <t>RES000413</t>
  </si>
  <si>
    <t>Row1309</t>
  </si>
  <si>
    <t>Row413_Row329_Row3_Row55_Row102_Row0_Row0_Row0</t>
  </si>
  <si>
    <t>RES000414</t>
  </si>
  <si>
    <t>Row736</t>
  </si>
  <si>
    <t>Row414_Row357_Row2_Row86_Row85_Row2_Row0_Row3</t>
  </si>
  <si>
    <t>RES000415</t>
  </si>
  <si>
    <t>Row828</t>
  </si>
  <si>
    <t>Row415_Row214_Row0_Row141_Row10_Row6_Row0_Row1</t>
  </si>
  <si>
    <t>RES000416</t>
  </si>
  <si>
    <t>Row436</t>
  </si>
  <si>
    <t>Row416_Row15_Row1_Row14_Row14_Row5_Row0_Row4</t>
  </si>
  <si>
    <t>RES000417</t>
  </si>
  <si>
    <t>Row417_Row128_Row3_Row115_Row25_Row4_Row0_Row2</t>
  </si>
  <si>
    <t>RES000418</t>
  </si>
  <si>
    <t>1253.4</t>
  </si>
  <si>
    <t>626.7</t>
  </si>
  <si>
    <t>Row418_Row112_Row2_Row100_Row83_Row3_Row0_Row0</t>
  </si>
  <si>
    <t>RES000419</t>
  </si>
  <si>
    <t>Row419_Row429_Row0_Row26_Row114_Row1_Row0_Row3</t>
  </si>
  <si>
    <t>RES000420</t>
  </si>
  <si>
    <t>Row1058</t>
  </si>
  <si>
    <t>Row420_Row562_Row1_Row287_Row135_Row0_Row2_Row5</t>
  </si>
  <si>
    <t>RES000421</t>
  </si>
  <si>
    <t>Row421_Row609_Row3_Row292_Row150_Row2_Row2_Row5</t>
  </si>
  <si>
    <t>RES000422</t>
  </si>
  <si>
    <t>Row1502</t>
  </si>
  <si>
    <t>Row422_Row613_Row2_Row278_Row159_Row6_Row2_Row5</t>
  </si>
  <si>
    <t>RES000423</t>
  </si>
  <si>
    <t>Row1509</t>
  </si>
  <si>
    <t>Row423_Row524_Row0_Row265_Row129_Row5_Row3_Row5</t>
  </si>
  <si>
    <t>RES000424</t>
  </si>
  <si>
    <t>Row424_Row398_Row1_Row194_Row54_Row4_Row1_Row4</t>
  </si>
  <si>
    <t>RES000425</t>
  </si>
  <si>
    <t>Row956</t>
  </si>
  <si>
    <t>403.23</t>
  </si>
  <si>
    <t>1008.07</t>
  </si>
  <si>
    <t>985.47</t>
  </si>
  <si>
    <t>Row425_Row416_Row3_Row126_Row35_Row3_Row1_Row2</t>
  </si>
  <si>
    <t>RES000426</t>
  </si>
  <si>
    <t>Row1005</t>
  </si>
  <si>
    <t>94.74</t>
  </si>
  <si>
    <t>236.85</t>
  </si>
  <si>
    <t>Row426_Row434_Row2_Row91_Row57_Row1_Row0_Row2</t>
  </si>
  <si>
    <t>RES000427</t>
  </si>
  <si>
    <t>Row1084</t>
  </si>
  <si>
    <t>Row427_Row65_Row0_Row54_Row55_Row0_Row0_Row0</t>
  </si>
  <si>
    <t>RES000428</t>
  </si>
  <si>
    <t>Row428_Row488_Row1_Row228_Row76_Row2_Row0_Row3</t>
  </si>
  <si>
    <t>RES000429</t>
  </si>
  <si>
    <t>Row1320</t>
  </si>
  <si>
    <t>Row429_Row269_Row3_Row203_Row61_Row6_Row0_Row1</t>
  </si>
  <si>
    <t>RES000430</t>
  </si>
  <si>
    <t>Row430_Row171_Row2_Row144_Row13_Row5_Row0_Row4</t>
  </si>
  <si>
    <t>RES000431</t>
  </si>
  <si>
    <t>4185.63</t>
  </si>
  <si>
    <t>1395.21</t>
  </si>
  <si>
    <t>Row431_Row446_Row0_Row142_Row126_Row4_Row0_Row2</t>
  </si>
  <si>
    <t>RES000432</t>
  </si>
  <si>
    <t>Row1144</t>
  </si>
  <si>
    <t>Row432_Row417_Row1_Row216_Row1_Row3_Row0_Row0</t>
  </si>
  <si>
    <t>RES000433</t>
  </si>
  <si>
    <t>Row1006</t>
  </si>
  <si>
    <t>1253.62</t>
  </si>
  <si>
    <t>626.81</t>
  </si>
  <si>
    <t>345.7799999999999</t>
  </si>
  <si>
    <t>Row433_Row490_Row3_Row145_Row118_Row1_Row0_Row3</t>
  </si>
  <si>
    <t>RES000434</t>
  </si>
  <si>
    <t>Row1326</t>
  </si>
  <si>
    <t>Row434_Row165_Row2_Row139_Row75_Row0_Row0_Row1</t>
  </si>
  <si>
    <t>RES000435</t>
  </si>
  <si>
    <t>Row435_Row175_Row0_Row146_Row46_Row2_Row0_Row4</t>
  </si>
  <si>
    <t>RES000436</t>
  </si>
  <si>
    <t>Row436_Row422_Row1_Row208_Row127_Row6_Row0_Row2</t>
  </si>
  <si>
    <t>RES000437</t>
  </si>
  <si>
    <t>Row1021</t>
  </si>
  <si>
    <t>Row437_Row88_Row3_Row78_Row7_Row5_Row0_Row0</t>
  </si>
  <si>
    <t>RES000438</t>
  </si>
  <si>
    <t>Row438_Row391_Row2_Row231_Row119_Row4_Row0_Row3</t>
  </si>
  <si>
    <t>RES000439</t>
  </si>
  <si>
    <t>Row925</t>
  </si>
  <si>
    <t>Row439_Row32_Row0_Row29_Row24_Row3_Row0_Row1</t>
  </si>
  <si>
    <t>RES000440</t>
  </si>
  <si>
    <t>2371.83</t>
  </si>
  <si>
    <t>790.61</t>
  </si>
  <si>
    <t>Row440_Row591_Row1_Row273_Row130_Row1_Row2_Row5</t>
  </si>
  <si>
    <t>RES000441</t>
  </si>
  <si>
    <t>Row1469</t>
  </si>
  <si>
    <t>Row441_Row516_Row3_Row254_Row145_Row0_Row2_Row5</t>
  </si>
  <si>
    <t>RES000442</t>
  </si>
  <si>
    <t>Row442_Row567_Row2_Row264_Row148_Row2_Row2_Row5</t>
  </si>
  <si>
    <t>RES000443</t>
  </si>
  <si>
    <t>Row1428</t>
  </si>
  <si>
    <t>Row443_Row538_Row0_Row272_Row144_Row6_Row3_Row5</t>
  </si>
  <si>
    <t>RES000444</t>
  </si>
  <si>
    <t>Row444_Row437_Row1_Row56_Row47_Row5_Row1_Row2</t>
  </si>
  <si>
    <t>RES000445</t>
  </si>
  <si>
    <t>Row1095</t>
  </si>
  <si>
    <t>214.11</t>
  </si>
  <si>
    <t>535.28</t>
  </si>
  <si>
    <t>Row445_Row320_Row3_Row195_Row95_Row4_Row1_Row0</t>
  </si>
  <si>
    <t>RES000446</t>
  </si>
  <si>
    <t>Row716</t>
  </si>
  <si>
    <t>Row446_Row195_Row2_Row61_Row71_Row3_Row0_Row0</t>
  </si>
  <si>
    <t>RES000447</t>
  </si>
  <si>
    <t>Row396</t>
  </si>
  <si>
    <t>Row447_Row230_Row0_Row136_Row53_Row1_Row0_Row3</t>
  </si>
  <si>
    <t>RES000448</t>
  </si>
  <si>
    <t>Row483</t>
  </si>
  <si>
    <t>Row448_Row494_Row1_Row153_Row34_Row0_Row0_Row1</t>
  </si>
  <si>
    <t>RES000449</t>
  </si>
  <si>
    <t>Row1338</t>
  </si>
  <si>
    <t>Row449_Row348_Row3_Row65_Row12_Row2_Row0_Row4</t>
  </si>
  <si>
    <t>RES000450</t>
  </si>
  <si>
    <t>Row808</t>
  </si>
  <si>
    <t>Row450_Row455_Row2_Row234_Row116_Row6_Row0_Row2</t>
  </si>
  <si>
    <t>RES000451</t>
  </si>
  <si>
    <t>Row1189</t>
  </si>
  <si>
    <t>Row451_Row464_Row0_Row57_Row11_Row5_Row0_Row0</t>
  </si>
  <si>
    <t>RES000452</t>
  </si>
  <si>
    <t>Row1217</t>
  </si>
  <si>
    <t>Row452_Row70_Row1_Row63_Row59_Row4_Row0_Row3</t>
  </si>
  <si>
    <t>RES000453</t>
  </si>
  <si>
    <t>Row453_Row425_Row3_Row133_Row69_Row3_Row0_Row1</t>
  </si>
  <si>
    <t>RES000454</t>
  </si>
  <si>
    <t>Row1036</t>
  </si>
  <si>
    <t>Row454_Row228_Row2_Row174_Row19_Row1_Row0_Row4</t>
  </si>
  <si>
    <t>RES000455</t>
  </si>
  <si>
    <t>Row475</t>
  </si>
  <si>
    <t>Row455_Row198_Row0_Row128_Row88_Row0_Row0_Row2</t>
  </si>
  <si>
    <t>RES000456</t>
  </si>
  <si>
    <t>Row403</t>
  </si>
  <si>
    <t>Row456_Row364_Row1_Row207_Row58_Row2_Row0_Row0</t>
  </si>
  <si>
    <t>RES000457</t>
  </si>
  <si>
    <t>Row863</t>
  </si>
  <si>
    <t>Row457_Row328_Row3_Row6_Row81_Row6_Row0_Row3</t>
  </si>
  <si>
    <t>RES000458</t>
  </si>
  <si>
    <t>Row733</t>
  </si>
  <si>
    <t>Row458_Row271_Row2_Row204_Row124_Row5_Row0_Row1</t>
  </si>
  <si>
    <t>RES000459</t>
  </si>
  <si>
    <t>750.77</t>
  </si>
  <si>
    <t>Row459_Row482_Row0_Row33_Row106_Row4_Row0_Row4</t>
  </si>
  <si>
    <t>RES000460</t>
  </si>
  <si>
    <t>Row1286</t>
  </si>
  <si>
    <t>2028.92</t>
  </si>
  <si>
    <t>1014.46</t>
  </si>
  <si>
    <t>Row460_Row557_Row1_Row284_Row154_Row3_Row2_Row5</t>
  </si>
  <si>
    <t>RES000461</t>
  </si>
  <si>
    <t>Row461_Row555_Row3_Row283_Row143_Row1_Row2_Row5</t>
  </si>
  <si>
    <t>RES000462</t>
  </si>
  <si>
    <t>Row462_Row598_Row2_Row261_Row149_Row0_Row2_Row5</t>
  </si>
  <si>
    <t>RES000463</t>
  </si>
  <si>
    <t>Row1479</t>
  </si>
  <si>
    <t>Row463_Row589_Row0_Row288_Row153_Row2_Row3_Row5</t>
  </si>
  <si>
    <t>RES000464</t>
  </si>
  <si>
    <t>Row1464</t>
  </si>
  <si>
    <t>Row464_Row493_Row1_Row233_Row41_Row6_Row1_Row0</t>
  </si>
  <si>
    <t>RES000465</t>
  </si>
  <si>
    <t>Row1337</t>
  </si>
  <si>
    <t>322.73</t>
  </si>
  <si>
    <t>729.98</t>
  </si>
  <si>
    <t>Row465_Row317_Row3_Row221_Row104_Row5_Row1_Row3</t>
  </si>
  <si>
    <t>RES000466</t>
  </si>
  <si>
    <t>Row709</t>
  </si>
  <si>
    <t>477.76</t>
  </si>
  <si>
    <t>1194.41</t>
  </si>
  <si>
    <t>Row466_Row438_Row2_Row237_Row37_Row4_Row0_Row3</t>
  </si>
  <si>
    <t>RES000467</t>
  </si>
  <si>
    <t>Row1102</t>
  </si>
  <si>
    <t>5067.36</t>
  </si>
  <si>
    <t>1689.12</t>
  </si>
  <si>
    <t>Row467_Row432_Row0_Row151_Row125_Row3_Row0_Row1</t>
  </si>
  <si>
    <t>RES000468</t>
  </si>
  <si>
    <t>Row1074</t>
  </si>
  <si>
    <t>266.45</t>
  </si>
  <si>
    <t>223.73999999999998</t>
  </si>
  <si>
    <t>Row468_Row138_Row1_Row35_Row93_Row1_Row0_Row4</t>
  </si>
  <si>
    <t>RES000469</t>
  </si>
  <si>
    <t>Row469_Row180_Row3_Row12_Row105_Row0_Row0_Row2</t>
  </si>
  <si>
    <t>RES000470</t>
  </si>
  <si>
    <t>2539.11</t>
  </si>
  <si>
    <t>846.37</t>
  </si>
  <si>
    <t>644.1</t>
  </si>
  <si>
    <t>Row470_Row384_Row2_Row236_Row18_Row2_Row0_Row0</t>
  </si>
  <si>
    <t>RES000471</t>
  </si>
  <si>
    <t>Row471_Row205_Row0_Row105_Row22_Row6_Row0_Row3</t>
  </si>
  <si>
    <t>RES000472</t>
  </si>
  <si>
    <t>Row414</t>
  </si>
  <si>
    <t>Row472_Row354_Row1_Row21_Row80_Row5_Row0_Row1</t>
  </si>
  <si>
    <t>RES000473</t>
  </si>
  <si>
    <t>Row818</t>
  </si>
  <si>
    <t>4618.89</t>
  </si>
  <si>
    <t>1539.63</t>
  </si>
  <si>
    <t>Row473_Row160_Row3_Row134_Row28_Row4_Row0_Row4</t>
  </si>
  <si>
    <t>RES000474</t>
  </si>
  <si>
    <t>Row474_Row302_Row2_Row19_Row36_Row3_Row0_Row2</t>
  </si>
  <si>
    <t>RES000475</t>
  </si>
  <si>
    <t>Row665</t>
  </si>
  <si>
    <t>1413.64</t>
  </si>
  <si>
    <t>706.82</t>
  </si>
  <si>
    <t>Row475_Row145_Row0_Row9_Row96_Row1_Row0_Row0</t>
  </si>
  <si>
    <t>RES000476</t>
  </si>
  <si>
    <t>Row476_Row290_Row1_Row62_Row56_Row0_Row0_Row3</t>
  </si>
  <si>
    <t>RES000477</t>
  </si>
  <si>
    <t>Row641</t>
  </si>
  <si>
    <t>772.92</t>
  </si>
  <si>
    <t>Row477_Row183_Row3_Row98_Row17_Row2_Row0_Row1</t>
  </si>
  <si>
    <t>RES000478</t>
  </si>
  <si>
    <t>Row365</t>
  </si>
  <si>
    <t>Row478_Row154_Row2_Row131_Row73_Row6_Row0_Row4</t>
  </si>
  <si>
    <t>RES000479</t>
  </si>
  <si>
    <t>Row479_Row250_Row0_Row147_Row31_Row5_Row0_Row2</t>
  </si>
  <si>
    <t>RES000480</t>
  </si>
  <si>
    <t>Row530</t>
  </si>
  <si>
    <t>258.77</t>
  </si>
  <si>
    <t>211.30999999999997</t>
  </si>
  <si>
    <t>Row480_Row594_Row1_Row271_Row133_Row4_Row2_Row5</t>
  </si>
  <si>
    <t>RES000481</t>
  </si>
  <si>
    <t>Row1474</t>
  </si>
  <si>
    <t>Row481_Row611_Row3_Row277_Row132_Row3_Row2_Row5</t>
  </si>
  <si>
    <t>RES000482</t>
  </si>
  <si>
    <t>Row1506</t>
  </si>
  <si>
    <t>Row482_Row573_Row2_Row293_Row151_Row1_Row2_Row5</t>
  </si>
  <si>
    <t>RES000483</t>
  </si>
  <si>
    <t>Row483_Row545_Row0_Row279_Row147_Row0_Row3_Row5</t>
  </si>
  <si>
    <t>RES000484</t>
  </si>
  <si>
    <t>Row484_Row344_Row1_Row167_Row70_Row2_Row1_Row3</t>
  </si>
  <si>
    <t>RES000485</t>
  </si>
  <si>
    <t>Row797</t>
  </si>
  <si>
    <t>Row485_Row409_Row3_Row64_Row74_Row6_Row1_Row1</t>
  </si>
  <si>
    <t>RES000486</t>
  </si>
  <si>
    <t>Row988</t>
  </si>
  <si>
    <t>50.85</t>
  </si>
  <si>
    <t>Row486_Row57_Row2_Row50_Row50_Row5_Row0_Row1</t>
  </si>
  <si>
    <t>RES000487</t>
  </si>
  <si>
    <t>Row487_Row142_Row0_Row125_Row94_Row4_Row0_Row4</t>
  </si>
  <si>
    <t>RES000488</t>
  </si>
  <si>
    <t>1427.8799999999999</t>
  </si>
  <si>
    <t>475.96</t>
  </si>
  <si>
    <t>Row488_Row472_Row1_Row22_Row78_Row3_Row0_Row2</t>
  </si>
  <si>
    <t>RES000489</t>
  </si>
  <si>
    <t>Row1252</t>
  </si>
  <si>
    <t>340.36</t>
  </si>
  <si>
    <t>Row489_Row243_Row3_Row186_Row42_Row1_Row0_Row0</t>
  </si>
  <si>
    <t>RES000490</t>
  </si>
  <si>
    <t>Row490_Row172_Row2_Row18_Row65_Row0_Row0_Row3</t>
  </si>
  <si>
    <t>RES000491</t>
  </si>
  <si>
    <t>Row342</t>
  </si>
  <si>
    <t>Row491_Row275_Row0_Row206_Row0_Row2_Row0_Row1</t>
  </si>
  <si>
    <t>RES000492</t>
  </si>
  <si>
    <t>Row492_Row424_Row1_Row123_Row20_Row6_Row0_Row4</t>
  </si>
  <si>
    <t>RES000493</t>
  </si>
  <si>
    <t>Row1031</t>
  </si>
  <si>
    <t>Row493_Row137_Row3_Row30_Row68_Row5_Row0_Row2</t>
  </si>
  <si>
    <t>RES000494</t>
  </si>
  <si>
    <t>Row262</t>
  </si>
  <si>
    <t>1254.6299999999999</t>
  </si>
  <si>
    <t>418.21</t>
  </si>
  <si>
    <t>Row494_Row156_Row2_Row132_Row26_Row4_Row0_Row0</t>
  </si>
  <si>
    <t>RES000495</t>
  </si>
  <si>
    <t>Row495_Row78_Row0_Row71_Row9_Row3_Row0_Row3</t>
  </si>
  <si>
    <t>RES000496</t>
  </si>
  <si>
    <t>Row496_Row212_Row1_Row173_Row98_Row1_Row0_Row1</t>
  </si>
  <si>
    <t>RES000497</t>
  </si>
  <si>
    <t>Row497_Row136_Row3_Row121_Row23_Row0_Row0_Row4</t>
  </si>
  <si>
    <t>RES000498</t>
  </si>
  <si>
    <t>Row498_Row483_Row2_Row82_Row30_Row2_Row0_Row2</t>
  </si>
  <si>
    <t>RES000499</t>
  </si>
  <si>
    <t>Row1288</t>
  </si>
  <si>
    <t>Row499_Row426_Row0_Row163_Row103_Row6_Row0_Row0</t>
  </si>
  <si>
    <t>RES000500</t>
  </si>
  <si>
    <t>Row1044</t>
  </si>
  <si>
    <t>1412.79</t>
  </si>
  <si>
    <t>470.93</t>
  </si>
  <si>
    <t>Row500_Row597_Row1_Row245_Row157_Row5_Row2_Row5</t>
  </si>
  <si>
    <t>RES000501</t>
  </si>
  <si>
    <t>Row1478</t>
  </si>
  <si>
    <t>Row501_Row593_Row3_Row244_Row141_Row4_Row2_Row5</t>
  </si>
  <si>
    <t>RES000502</t>
  </si>
  <si>
    <t>Row1472</t>
  </si>
  <si>
    <t>Row502_Row617_Row2_Row289_Row152_Row3_Row2_Row5</t>
  </si>
  <si>
    <t>RES000503</t>
  </si>
  <si>
    <t>Row1520</t>
  </si>
  <si>
    <t>Row503_Row514_Row0_Row257_Row131_Row1_Row3_Row5</t>
  </si>
  <si>
    <t>RES000504</t>
  </si>
  <si>
    <t>Row504_Row185_Row1_Row155_Row108_Row0_Row1_Row1</t>
  </si>
  <si>
    <t>RES000505</t>
  </si>
  <si>
    <t>Row505_Row312_Row3_Row196_Row60_Row2_Row1_Row4</t>
  </si>
  <si>
    <t>RES000506</t>
  </si>
  <si>
    <t>Row693</t>
  </si>
  <si>
    <t>Row506_Row108_Row2_Row97_Row64_Row6_Row0_Row4</t>
  </si>
  <si>
    <t>RES000507</t>
  </si>
  <si>
    <t>Row507_Row37_Row0_Row34_Row32_Row5_Row0_Row2</t>
  </si>
  <si>
    <t>RES000508</t>
  </si>
  <si>
    <t>Row508_Row300_Row1_Row111_Row21_Row4_Row0_Row0</t>
  </si>
  <si>
    <t>RES000509</t>
  </si>
  <si>
    <t>Row661</t>
  </si>
  <si>
    <t>Row509_Row469_Row3_Row160_Row5_Row3_Row0_Row3</t>
  </si>
  <si>
    <t>RES000510</t>
  </si>
  <si>
    <t>Row1241</t>
  </si>
  <si>
    <t>117.35</t>
  </si>
  <si>
    <t>62.42999999999999</t>
  </si>
  <si>
    <t>Row510_Row453_Row2_Row70_Row100_Row1_Row0_Row1</t>
  </si>
  <si>
    <t>RES000511</t>
  </si>
  <si>
    <t>Row1179</t>
  </si>
  <si>
    <t>Row511_Row324_Row0_Row222_Row122_Row0_Row0_Row4</t>
  </si>
  <si>
    <t>RES000512</t>
  </si>
  <si>
    <t>Row512_Row353_Row1_Row198_Row123_Row2_Row0_Row2</t>
  </si>
  <si>
    <t>RES000513</t>
  </si>
  <si>
    <t>Row817</t>
  </si>
  <si>
    <t>Row513_Row233_Row3_Row74_Row89_Row6_Row0_Row0</t>
  </si>
  <si>
    <t>RES000514</t>
  </si>
  <si>
    <t>Row487</t>
  </si>
  <si>
    <t>Row514_Row473_Row2_Row27_Row43_Row5_Row0_Row3</t>
  </si>
  <si>
    <t>RES000515</t>
  </si>
  <si>
    <t>Row1253</t>
  </si>
  <si>
    <t>2100.7799999999997</t>
  </si>
  <si>
    <t>700.26</t>
  </si>
  <si>
    <t>Row515_Row475_Row0_Row95_Row79_Row4_Row0_Row1</t>
  </si>
  <si>
    <t>RES000516</t>
  </si>
  <si>
    <t>Row1259</t>
  </si>
  <si>
    <t>Row516_Row450_Row1_Row225_Row33_Row3_Row0_Row4</t>
  </si>
  <si>
    <t>RES000517</t>
  </si>
  <si>
    <t>Row1160</t>
  </si>
  <si>
    <t>Row517_Row237_Row3_Row183_Row107_Row1_Row0_Row2</t>
  </si>
  <si>
    <t>RES000518</t>
  </si>
  <si>
    <t>Row518_Row117_Row2_Row104_Row3_Row0_Row0_Row0</t>
  </si>
  <si>
    <t>RES000519</t>
  </si>
  <si>
    <t>Row519_Row495_Row0_Row45_Row87_Row2_Row0_Row3</t>
  </si>
  <si>
    <t>RES000520</t>
  </si>
  <si>
    <t>Row1341</t>
  </si>
  <si>
    <t>Row520_Row592_Row1_Row286_Row128_Row6_Row2_Row5</t>
  </si>
  <si>
    <t>RES000521</t>
  </si>
  <si>
    <t>Row1471</t>
  </si>
  <si>
    <t>Row521_Row612_Row3_Row285_Row158_Row5_Row2_Row5</t>
  </si>
  <si>
    <t>RES000522</t>
  </si>
  <si>
    <t>Row1508</t>
  </si>
  <si>
    <t>98.65</t>
  </si>
  <si>
    <t>Row522_Row508_Row2_Row251_Row140_Row4_Row2_Row5</t>
  </si>
  <si>
    <t>RES000523</t>
  </si>
  <si>
    <t>Row523_Row517_Row0_Row259_Row146_Row3_Row3_Row5</t>
  </si>
  <si>
    <t>RES000524</t>
  </si>
  <si>
    <t>Row524_Row191_Row1_Row159_Row111_Row1_Row1_Row4</t>
  </si>
  <si>
    <t>RES000525</t>
  </si>
  <si>
    <t>Row525_Row133_Row3_Row118_Row38_Row0_Row1_Row2</t>
  </si>
  <si>
    <t>RES000526</t>
  </si>
  <si>
    <t>Row526_Row242_Row2_Row185_Row82_Row2_Row0_Row2</t>
  </si>
  <si>
    <t>RES000527</t>
  </si>
  <si>
    <t>Row527_Row75_Row0_Row68_Row63_Row6_Row0_Row0</t>
  </si>
  <si>
    <t>RES000528</t>
  </si>
  <si>
    <t>Row528_Row17_Row1_Row16_Row16_Row5_Row0_Row3</t>
  </si>
  <si>
    <t>RES000529</t>
  </si>
  <si>
    <t>Row529_Row491_Row3_Row178_Row48_Row4_Row0_Row1</t>
  </si>
  <si>
    <t>RES000530</t>
  </si>
  <si>
    <t>Row1331</t>
  </si>
  <si>
    <t>1524.99</t>
  </si>
  <si>
    <t>508.33</t>
  </si>
  <si>
    <t>Row530_Row199_Row2_Row164_Row2_Row3_Row0_Row4</t>
  </si>
  <si>
    <t>RES000531</t>
  </si>
  <si>
    <t>475.95</t>
  </si>
  <si>
    <t>Row531_Row114_Row0_Row102_Row84_Row1_Row0_Row2</t>
  </si>
  <si>
    <t>RES000532</t>
  </si>
  <si>
    <t>Row532_Row270_Row1_Row168_Row72_Row0_Row0_Row0</t>
  </si>
  <si>
    <t>RES000533</t>
  </si>
  <si>
    <t>Row584</t>
  </si>
  <si>
    <t>Row533_Row64_Row3_Row58_Row40_Row2_Row0_Row3</t>
  </si>
  <si>
    <t>RES000534</t>
  </si>
  <si>
    <t>Row534_Row255_Row2_Row187_Row27_Row6_Row0_Row1</t>
  </si>
  <si>
    <t>RES000535</t>
  </si>
  <si>
    <t>Row540</t>
  </si>
  <si>
    <t>Row535_Row492_Row0_Row149_Row99_Row5_Row0_Row4</t>
  </si>
  <si>
    <t>RES000536</t>
  </si>
  <si>
    <t>Row1334</t>
  </si>
  <si>
    <t>Row536_Row206_Row1_Row143_Row29_Row4_Row0_Row2</t>
  </si>
  <si>
    <t>RES000537</t>
  </si>
  <si>
    <t>Row416</t>
  </si>
  <si>
    <t>Row537_Row332_Row3_Row152_Row66_Row3_Row0_Row0</t>
  </si>
  <si>
    <t>RES000538</t>
  </si>
  <si>
    <t>Row743</t>
  </si>
  <si>
    <t>1243.68</t>
  </si>
  <si>
    <t>621.84</t>
  </si>
  <si>
    <t>Row538_Row6_Row2_Row3_Row6_Row1_Row0_Row3</t>
  </si>
  <si>
    <t>RES000539</t>
  </si>
  <si>
    <t>Row539_Row383_Row0_Row107_Row44_Row0_Row0_Row1</t>
  </si>
  <si>
    <t>RES000540</t>
  </si>
  <si>
    <t>Row905</t>
  </si>
  <si>
    <t>Row540_Row507_Row1_Row250_Row139_Row2_Row2_Row5</t>
  </si>
  <si>
    <t>RES000541</t>
  </si>
  <si>
    <t>Row541_Row575_Row3_Row294_Row138_Row6_Row2_Row5</t>
  </si>
  <si>
    <t>RES000542</t>
  </si>
  <si>
    <t>Row542_Row550_Row2_Row266_Row156_Row5_Row2_Row5</t>
  </si>
  <si>
    <t>RES000543</t>
  </si>
  <si>
    <t>Row543_Row606_Row0_Row291_Row134_Row4_Row3_Row5</t>
  </si>
  <si>
    <t>RES000544</t>
  </si>
  <si>
    <t>Row1495</t>
  </si>
  <si>
    <t>Row544_Row74_Row1_Row66_Row62_Row3_Row1_Row2</t>
  </si>
  <si>
    <t>RES000545</t>
  </si>
  <si>
    <t>242.59</t>
  </si>
  <si>
    <t>606.47</t>
  </si>
  <si>
    <t>Row545_Row201_Row3_Row53_Row112_Row1_Row1_Row0</t>
  </si>
  <si>
    <t>RES000546</t>
  </si>
  <si>
    <t>Row408</t>
  </si>
  <si>
    <t>Row546_Row460_Row2_Row99_Row91_Row0_Row0_Row0</t>
  </si>
  <si>
    <t>RES000547</t>
  </si>
  <si>
    <t>Row1202</t>
  </si>
  <si>
    <t>Row547_Row338_Row0_Row202_Row67_Row2_Row0_Row3</t>
  </si>
  <si>
    <t>RES000548</t>
  </si>
  <si>
    <t>Row768</t>
  </si>
  <si>
    <t>Row548_Row404_Row1_Row109_Row117_Row6_Row0_Row1</t>
  </si>
  <si>
    <t>RES000549</t>
  </si>
  <si>
    <t>Row974</t>
  </si>
  <si>
    <t>Row549_Row291_Row3_Row75_Row4_Row5_Row0_Row4</t>
  </si>
  <si>
    <t>RES000550</t>
  </si>
  <si>
    <t>Row642</t>
  </si>
  <si>
    <t>Row550_Row113_Row2_Row101_Row49_Row4_Row0_Row2</t>
  </si>
  <si>
    <t>RES000551</t>
  </si>
  <si>
    <t>Row551_Row411_Row0_Row171_Row120_Row3_Row0_Row0</t>
  </si>
  <si>
    <t>RES000552</t>
  </si>
  <si>
    <t>Row994</t>
  </si>
  <si>
    <t>Row552_Row368_Row1_Row80_Row92_Row1_Row0_Row3</t>
  </si>
  <si>
    <t>RES000553</t>
  </si>
  <si>
    <t>Row869</t>
  </si>
  <si>
    <t>Row553_Row296_Row3_Row182_Row8_Row0_Row0_Row1</t>
  </si>
  <si>
    <t>RES000554</t>
  </si>
  <si>
    <t>Row653</t>
  </si>
  <si>
    <t>Row554_Row102_Row2_Row92_Row51_Row2_Row0_Row4</t>
  </si>
  <si>
    <t>RES000555</t>
  </si>
  <si>
    <t>Row555_Row16_Row0_Row15_Row15_Row6_Row0_Row2</t>
  </si>
  <si>
    <t>RES000556</t>
  </si>
  <si>
    <t>Row556_Row343_Row1_Row219_Row110_Row5_Row0_Row0</t>
  </si>
  <si>
    <t>RES000557</t>
  </si>
  <si>
    <t>Row792</t>
  </si>
  <si>
    <t>Row557_Row382_Row3_Row79_Row115_Row4_Row0_Row3</t>
  </si>
  <si>
    <t>RES000558</t>
  </si>
  <si>
    <t>Row904</t>
  </si>
  <si>
    <t>Row558_Row345_Row2_Row103_Row97_Row3_Row0_Row1</t>
  </si>
  <si>
    <t>RES000559</t>
  </si>
  <si>
    <t>Row800</t>
  </si>
  <si>
    <t>Row559_Row459_Row0_Row190_Row45_Row1_Row0_Row4</t>
  </si>
  <si>
    <t>RES000560</t>
  </si>
  <si>
    <t>Row1199</t>
  </si>
  <si>
    <t>Row560_Row610_Row1_Row256_Row142_Row0_Row2_Row5</t>
  </si>
  <si>
    <t>RES000561</t>
  </si>
  <si>
    <t>Row1504</t>
  </si>
  <si>
    <t>Row561_Row607_Row3_Row296_Row136_Row2_Row2_Row5</t>
  </si>
  <si>
    <t>RES000562</t>
  </si>
  <si>
    <t>Row1498</t>
  </si>
  <si>
    <t>Row562_Row513_Row2_Row255_Row137_Row6_Row2_Row5</t>
  </si>
  <si>
    <t>RES000563</t>
  </si>
  <si>
    <t>Row563_Row599_Row0_Row241_Row155_Row5_Row3_Row5</t>
  </si>
  <si>
    <t>RES000564</t>
  </si>
  <si>
    <t>Row1482</t>
  </si>
  <si>
    <t>Row564_Row362_Row1_Row180_Row121_Row4_Row1_Row0</t>
  </si>
  <si>
    <t>RES000565</t>
  </si>
  <si>
    <t>Row861</t>
  </si>
  <si>
    <t>Row565_Row363_Row3_Row36_Row52_Row3_Row1_Row3</t>
  </si>
  <si>
    <t>RES000566</t>
  </si>
  <si>
    <t>Row862</t>
  </si>
  <si>
    <t>165.7</t>
  </si>
  <si>
    <t>414.26</t>
  </si>
  <si>
    <t>Row566_Row103_Row2_Row93_Row77_Row1_Row0_Row3</t>
  </si>
  <si>
    <t>RES000567</t>
  </si>
  <si>
    <t>Row567_Row485_Row0_Row113_Row109_Row0_Row0_Row1</t>
  </si>
  <si>
    <t>RES000568</t>
  </si>
  <si>
    <t>Row1301</t>
  </si>
  <si>
    <t>Row568_Row463_Row1_Row217_Row86_Row2_Row0_Row4</t>
  </si>
  <si>
    <t>RES000569</t>
  </si>
  <si>
    <t>Row1214</t>
  </si>
  <si>
    <t>Row569_Row489_Row3_Row138_Row90_Row6_Row0_Row2</t>
  </si>
  <si>
    <t>RES000570</t>
  </si>
  <si>
    <t>Row1325</t>
  </si>
  <si>
    <t>Row570_Row476_Row2_Row13_Row39_Row5_Row0_Row0</t>
  </si>
  <si>
    <t>RES000571</t>
  </si>
  <si>
    <t>Row1260</t>
  </si>
  <si>
    <t>Row571_Row394_Row0_Row214_Row101_Row4_Row0_Row3</t>
  </si>
  <si>
    <t>RES000572</t>
  </si>
  <si>
    <t>Row930</t>
  </si>
  <si>
    <t>Row572_Row221_Row1_Row1_Row113_Row3_Row0_Row1</t>
  </si>
  <si>
    <t>RES000573</t>
  </si>
  <si>
    <t>Row455</t>
  </si>
  <si>
    <t>Row573_Row264_Row3_Row7_Row102_Row1_Row0_Row4</t>
  </si>
  <si>
    <t>RES000574</t>
  </si>
  <si>
    <t>Row565</t>
  </si>
  <si>
    <t>Row574_Row360_Row2_Row230_Row85_Row0_Row0_Row2</t>
  </si>
  <si>
    <t>RES000575</t>
  </si>
  <si>
    <t>Row575_Row11_Row0_Row10_Row10_Row2_Row0_Row0</t>
  </si>
  <si>
    <t>RES000576</t>
  </si>
  <si>
    <t>Row576_Row184_Row1_Row154_Row14_Row6_Row0_Row3</t>
  </si>
  <si>
    <t>RES000577</t>
  </si>
  <si>
    <t>Row577_Row29_Row3_Row8_Row25_Row5_Row0_Row1</t>
  </si>
  <si>
    <t>RES000578</t>
  </si>
  <si>
    <t>Row578_Row468_Row2_Row232_Row83_Row4_Row0_Row4</t>
  </si>
  <si>
    <t>RES000579</t>
  </si>
  <si>
    <t>Row1240</t>
  </si>
  <si>
    <t>Row579_Row287_Row0_Row156_Row114_Row3_Row0_Row2</t>
  </si>
  <si>
    <t>RES000580</t>
  </si>
  <si>
    <t>Row636</t>
  </si>
  <si>
    <t>1294.64</t>
  </si>
  <si>
    <t>647.32</t>
  </si>
  <si>
    <t>Row580_Row560_Row1_Row282_Row135_Row1_Row2_Row5</t>
  </si>
  <si>
    <t>RES000581</t>
  </si>
  <si>
    <t>Row1419</t>
  </si>
  <si>
    <t>Row581_Row527_Row3_Row252_Row150_Row0_Row2_Row5</t>
  </si>
  <si>
    <t>RES000582</t>
  </si>
  <si>
    <t>Row582_Row605_Row2_Row249_Row159_Row2_Row2_Row5</t>
  </si>
  <si>
    <t>RES000583</t>
  </si>
  <si>
    <t>Row1493</t>
  </si>
  <si>
    <t>Row583_Row615_Row0_Row258_Row129_Row6_Row3_Row5</t>
  </si>
  <si>
    <t>RES000584</t>
  </si>
  <si>
    <t>Row1518</t>
  </si>
  <si>
    <t>Row584_Row227_Row1_Row48_Row54_Row5_Row1_Row3</t>
  </si>
  <si>
    <t>RES000585</t>
  </si>
  <si>
    <t>Row473</t>
  </si>
  <si>
    <t>Row585_Row393_Row3_Row189_Row35_Row4_Row1_Row1</t>
  </si>
  <si>
    <t>RES000586</t>
  </si>
  <si>
    <t>Row929</t>
  </si>
  <si>
    <t>Row586_Row309_Row2_Row220_Row57_Row3_Row0_Row1</t>
  </si>
  <si>
    <t>RES000587</t>
  </si>
  <si>
    <t>4242.93</t>
  </si>
  <si>
    <t>1414.31</t>
  </si>
  <si>
    <t>Row587_Row390_Row0_Row215_Row55_Row1_Row0_Row4</t>
  </si>
  <si>
    <t>RES000588</t>
  </si>
  <si>
    <t>Row924</t>
  </si>
  <si>
    <t>Row588_Row101_Row1_Row90_Row76_Row0_Row0_Row2</t>
  </si>
  <si>
    <t>RES000589</t>
  </si>
  <si>
    <t>Row589_Row466_Row3_Row238_Row61_Row2_Row0_Row0</t>
  </si>
  <si>
    <t>RES000590</t>
  </si>
  <si>
    <t>Row1228</t>
  </si>
  <si>
    <t>Row590_Row444_Row2_Row200_Row13_Row6_Row0_Row3</t>
  </si>
  <si>
    <t>RES000591</t>
  </si>
  <si>
    <t>Row1126</t>
  </si>
  <si>
    <t>Row591_Row366_Row0_Row11_Row126_Row5_Row0_Row1</t>
  </si>
  <si>
    <t>RES000592</t>
  </si>
  <si>
    <t>Row866</t>
  </si>
  <si>
    <t>Row592_Row153_Row1_Row130_Row1_Row4_Row0_Row4</t>
  </si>
  <si>
    <t>RES000593</t>
  </si>
  <si>
    <t>3903.93</t>
  </si>
  <si>
    <t>1301.31</t>
  </si>
  <si>
    <t>Row593_Row481_Row3_Row76_Row118_Row3_Row0_Row2</t>
  </si>
  <si>
    <t>RES000594</t>
  </si>
  <si>
    <t>Row1285</t>
  </si>
  <si>
    <t>218.66</t>
  </si>
  <si>
    <t>163.74</t>
  </si>
  <si>
    <t>Row594_Row334_Row2_Row224_Row75_Row1_Row0_Row0</t>
  </si>
  <si>
    <t>RES000595</t>
  </si>
  <si>
    <t>Row595_Row52_Row0_Row47_Row46_Row0_Row0_Row3</t>
  </si>
  <si>
    <t>RES000596</t>
  </si>
  <si>
    <t>Row596_Row337_Row1_Row166_Row127_Row2_Row0_Row1</t>
  </si>
  <si>
    <t>RES000597</t>
  </si>
  <si>
    <t>Row765</t>
  </si>
  <si>
    <t>Row597_Row385_Row3_Row140_Row7_Row6_Row0_Row4</t>
  </si>
  <si>
    <t>RES000598</t>
  </si>
  <si>
    <t>Row908</t>
  </si>
  <si>
    <t>Row598_Row314_Row2_Row135_Row119_Row5_Row0_Row2</t>
  </si>
  <si>
    <t>RES000599</t>
  </si>
  <si>
    <t>Row696</t>
  </si>
  <si>
    <t>Row599_Row442_Row0_Row226_Row24_Row4_Row0_Row0</t>
  </si>
  <si>
    <t>RES000600</t>
  </si>
  <si>
    <t>Row1120</t>
  </si>
  <si>
    <t>Row600_Row498_Row1_Row242_Row130_Row3_Row2_Row5</t>
  </si>
  <si>
    <t>RES000601</t>
  </si>
  <si>
    <t>Row601_Row616_Row3_Row269_Row145_Row1_Row2_Row5</t>
  </si>
  <si>
    <t>RES000602</t>
  </si>
  <si>
    <t>Row1519</t>
  </si>
  <si>
    <t>Row602_Row566_Row2_Row281_Row148_Row0_Row2_Row5</t>
  </si>
  <si>
    <t>RES000603</t>
  </si>
  <si>
    <t>Row1427</t>
  </si>
  <si>
    <t>Row603_Row584_Row0_Row275_Row144_Row2_Row3_Row5</t>
  </si>
  <si>
    <t>RES000604</t>
  </si>
  <si>
    <t>Row1454</t>
  </si>
  <si>
    <t>Row604_Row420_Row1_Row42_Row47_Row6_Row1_Row1</t>
  </si>
  <si>
    <t>RES000605</t>
  </si>
  <si>
    <t>Row1018</t>
  </si>
  <si>
    <t>Row605_Row276_Row3_Row188_Row95_Row5_Row1_Row4</t>
  </si>
  <si>
    <t>RES000606</t>
  </si>
  <si>
    <t>Row595</t>
  </si>
  <si>
    <t>97.18</t>
  </si>
  <si>
    <t>Row606_Row87_Row2_Row38_Row71_Row4_Row0_Row4</t>
  </si>
  <si>
    <t>RES000607</t>
  </si>
  <si>
    <t>Row607_Row140_Row0_Row122_Row53_Row3_Row0_Row2</t>
  </si>
  <si>
    <t>RES000608</t>
  </si>
  <si>
    <t>Row608_Row213_Row1_Row175_Row34_Row1_Row0_Row0</t>
  </si>
  <si>
    <t>RES000609</t>
  </si>
  <si>
    <t>Row609_Row467_Row3_Row43_Row12_Row0_Row0_Row3</t>
  </si>
  <si>
    <t>RES000610</t>
  </si>
  <si>
    <t>Row1234</t>
  </si>
  <si>
    <t>Row610_Row223_Row2_Row179_Row116_Row2_Row0_Row1</t>
  </si>
  <si>
    <t>RES000611</t>
  </si>
  <si>
    <t>Row611_Row408_Row0_Row120_Row11_Row6_Row0_Row4</t>
  </si>
  <si>
    <t>RES000612</t>
  </si>
  <si>
    <t>Row987</t>
  </si>
  <si>
    <t>Row612_Row462_Row1_Row49_Row59_Row5_Row0_Row2</t>
  </si>
  <si>
    <t>RES000613</t>
  </si>
  <si>
    <t>Row1209</t>
  </si>
  <si>
    <t>Row613_Row285_Row3_Row210_Row69_Row4_Row0_Row0</t>
  </si>
  <si>
    <t>RES000614</t>
  </si>
  <si>
    <t>Row614_Row465_Row2_Row37_Row19_Row3_Row0_Row3</t>
  </si>
  <si>
    <t>RES000615</t>
  </si>
  <si>
    <t>Row1220</t>
  </si>
  <si>
    <t>706.25</t>
  </si>
  <si>
    <t>649.3</t>
  </si>
  <si>
    <t>Row615_Row474_Row0_Row239_Row88_Row1_Row0_Row1</t>
  </si>
  <si>
    <t>RES000616</t>
  </si>
  <si>
    <t>Row1256</t>
  </si>
  <si>
    <t>Row616_Row410_Row1_Row124_Row58_Row0_Row0_Row4</t>
  </si>
  <si>
    <t>RES000617</t>
  </si>
  <si>
    <t>Row990</t>
  </si>
  <si>
    <t>Row617_Row278_Row3_Row67_Row81_Row2_Row0_Row2</t>
  </si>
  <si>
    <t>RES000618</t>
  </si>
  <si>
    <t>Row599</t>
  </si>
  <si>
    <t>Row618_Row448_Row2_Row32_Row124_Row6_Row0_Row0</t>
  </si>
  <si>
    <t>RES000619</t>
  </si>
  <si>
    <t>Row1148</t>
  </si>
  <si>
    <t>Row619_Row375_Row0_Row85_Row106_Row5_Row0_Row3</t>
  </si>
  <si>
    <t>RES000620</t>
  </si>
  <si>
    <t>Row889</t>
  </si>
  <si>
    <t>2378.94</t>
  </si>
  <si>
    <t>792.98</t>
  </si>
  <si>
    <t>Row620_Row595_Row1_Row262_Row154_Row4_Row2_Row5</t>
  </si>
  <si>
    <t>RES000621</t>
  </si>
  <si>
    <t>Row621_Row531_Row3_Row295_Row143_Row3_Row2_Row5</t>
  </si>
  <si>
    <t>RES000622</t>
  </si>
  <si>
    <t>Row622_Row581_Row2_Row297_Row149_Row1_Row2_Row5</t>
  </si>
  <si>
    <t>RES000623</t>
  </si>
  <si>
    <t>Row623_Row533_Row0_Row263_Row153_Row0_Row3_Row5</t>
  </si>
  <si>
    <t>RES000624</t>
  </si>
  <si>
    <t>Row624_Row197_Row1_Row235_Row41_Row2_Row1_Row4</t>
  </si>
  <si>
    <t>RES000625</t>
  </si>
  <si>
    <t>Row625_Row178_Row3_Row148_Row104_Row6_Row1_Row2</t>
  </si>
  <si>
    <t>RES000626</t>
  </si>
  <si>
    <t>309.17</t>
  </si>
  <si>
    <t>Row626_Row244_Row2_Row69_Row37_Row5_Row0_Row2</t>
  </si>
  <si>
    <t>RES000627</t>
  </si>
  <si>
    <t>Row627_Row226_Row0_Row158_Row125_Row4_Row0_Row0</t>
  </si>
  <si>
    <t>RES000628</t>
  </si>
  <si>
    <t>2614.82</t>
  </si>
  <si>
    <t>Row628_Row147_Row1_Row94_Row93_Row3_Row0_Row3</t>
  </si>
  <si>
    <t>RES000629</t>
  </si>
  <si>
    <t>4668.03</t>
  </si>
  <si>
    <t>1556.01</t>
  </si>
  <si>
    <t>Row629_Row47_Row3_Row108_Row105_Row1_Row0_Row1</t>
  </si>
  <si>
    <t>RES000630</t>
  </si>
  <si>
    <t>Row630_Row318_Row2_Row172_Row18_Row0_Row0_Row4</t>
  </si>
  <si>
    <t>RES000631</t>
  </si>
  <si>
    <t>Row631_Row26_Row0_Row24_Row22_Row2_Row0_Row2</t>
  </si>
  <si>
    <t>RES000632</t>
  </si>
  <si>
    <t>Row632_Row55_Row1_Row199_Row80_Row6_Row0_Row0</t>
  </si>
  <si>
    <t>RES000633</t>
  </si>
  <si>
    <t>Row633_Row192_Row3_Row114_Row28_Row5_Row0_Row3</t>
  </si>
  <si>
    <t>RES000634</t>
  </si>
  <si>
    <t>Row634_Row371_Row2_Row44_Row36_Row4_Row0_Row1</t>
  </si>
  <si>
    <t>RES000635</t>
  </si>
  <si>
    <t>4853.79</t>
  </si>
  <si>
    <t>1617.93</t>
  </si>
  <si>
    <t>Row635_Row436_Row0_Row201_Row96_Row3_Row0_Row4</t>
  </si>
  <si>
    <t>RES000636</t>
  </si>
  <si>
    <t>291.31</t>
  </si>
  <si>
    <t>Row636_Row67_Row1_Row60_Row56_Row1_Row0_Row2</t>
  </si>
  <si>
    <t>RES000637</t>
  </si>
  <si>
    <t>Row637_Row18_Row3_Row17_Row17_Row0_Row0_Row0</t>
  </si>
  <si>
    <t>RES000638</t>
  </si>
  <si>
    <t>2640.81</t>
  </si>
  <si>
    <t>880.27</t>
  </si>
  <si>
    <t>Row638_Row35_Row2_Row110_Row73_Row2_Row0_Row3</t>
  </si>
  <si>
    <t>RES000639</t>
  </si>
  <si>
    <t>917.56</t>
  </si>
  <si>
    <t>854.28</t>
  </si>
  <si>
    <t>Row639_Row330_Row0_Row218_Row31_Row6_Row0_Row1</t>
  </si>
  <si>
    <t>RES000640</t>
  </si>
  <si>
    <t>2495.04</t>
  </si>
  <si>
    <t>1247.52</t>
  </si>
  <si>
    <t>Row640_Row552_Row1_Row299_Row133_Row5_Row2_Row5</t>
  </si>
  <si>
    <t>RES000641</t>
  </si>
  <si>
    <t>Row641_Row548_Row3_Row280_Row132_Row4_Row2_Row5</t>
  </si>
  <si>
    <t>RES000642</t>
  </si>
  <si>
    <t>Row642_Row561_Row2_Row270_Row151_Row3_Row2_Row5</t>
  </si>
  <si>
    <t>RES000643</t>
  </si>
  <si>
    <t>Row643_Row518_Row0_Row260_Row147_Row1_Row3_Row5</t>
  </si>
  <si>
    <t>RES000644</t>
  </si>
  <si>
    <t>Row644_Row86_Row1_Row77_Row70_Row0_Row1_Row2</t>
  </si>
  <si>
    <t>RES000645</t>
  </si>
  <si>
    <t>Row645_Row94_Row3_Row83_Row74_Row2_Row1_Row0</t>
  </si>
  <si>
    <t>RES000646</t>
  </si>
  <si>
    <t>Row646_Row76_Row2_Row129_Row50_Row6_Row0_Row0</t>
  </si>
  <si>
    <t>RES000647</t>
  </si>
  <si>
    <t>Row647_Row470_Row0_Row161_Row94_Row5_Row0_Row3</t>
  </si>
  <si>
    <t>RES000648</t>
  </si>
  <si>
    <t>Row648_Row315_Row1_Row212_Row78_Row4_Row0_Row1</t>
  </si>
  <si>
    <t>RES000649</t>
  </si>
  <si>
    <t>855.64</t>
  </si>
  <si>
    <t>427.82</t>
  </si>
  <si>
    <t>Row649_Row120_Row3_Row5_Row42_Row3_Row0_Row4</t>
  </si>
  <si>
    <t>RES000650</t>
  </si>
  <si>
    <t>1206.33</t>
  </si>
  <si>
    <t>402.11</t>
  </si>
  <si>
    <t>209.33</t>
  </si>
  <si>
    <t>Row650_Row211_Row2_Row2_Row65_Row1_Row0_Row2</t>
  </si>
  <si>
    <t>RES000651</t>
  </si>
  <si>
    <t>Row651_Row0_Row0_Row0_Row0_Row0_Row0_Row0</t>
  </si>
  <si>
    <t>RES000652</t>
  </si>
  <si>
    <t>Row652_Row402_Row1_Row197_Row20_Row2_Row0_Row3</t>
  </si>
  <si>
    <t>RES000653</t>
  </si>
  <si>
    <t>Row653_Row127_Row3_Row41_Row68_Row6_Row0_Row1</t>
  </si>
  <si>
    <t>RES000654</t>
  </si>
  <si>
    <t>Row654_Row48_Row2_Row59_Row26_Row5_Row0_Row4</t>
  </si>
  <si>
    <t>RES000655</t>
  </si>
  <si>
    <t>Row655_Row268_Row0_Row223_Row9_Row4_Row0_Row2</t>
  </si>
  <si>
    <t>RES000656</t>
  </si>
  <si>
    <t>Row656_Row159_Row1_Row31_Row98_Row3_Row0_Row0</t>
  </si>
  <si>
    <t>RES000657</t>
  </si>
  <si>
    <t>313.24</t>
  </si>
  <si>
    <t>Row657_Row27_Row3_Row25_Row23_Row1_Row0_Row3</t>
  </si>
  <si>
    <t>RES000658</t>
  </si>
  <si>
    <t>Row658_Row132_Row2_Row89_Row30_Row0_Row0_Row1</t>
  </si>
  <si>
    <t>RES000659</t>
  </si>
  <si>
    <t>Row659_Row306_Row0_Row127_Row103_Row2_Row0_Row4</t>
  </si>
  <si>
    <t>RES000660</t>
  </si>
  <si>
    <t>Row660_Row558_Row1_Row276_Row157_Row6_Row2_Row5</t>
  </si>
  <si>
    <t>RES000661</t>
  </si>
  <si>
    <t>Row661_Row510_Row3_Row253_Row141_Row5_Row2_Row5</t>
  </si>
  <si>
    <t>RES000662</t>
  </si>
  <si>
    <t>Row662_Row602_Row2_Row298_Row152_Row4_Row2_Row5</t>
  </si>
  <si>
    <t>RES000663</t>
  </si>
  <si>
    <t>Row663_Row499_Row0_Row243_Row131_Row3_Row3_Row5</t>
  </si>
  <si>
    <t>RES000664</t>
  </si>
  <si>
    <t>Row664_Row267_Row1_Row176_Row108_Row1_Row1_Row0</t>
  </si>
  <si>
    <t>RES000665</t>
  </si>
  <si>
    <t>Row665_Row392_Row3_Row39_Row60_Row0_Row1_Row3</t>
  </si>
  <si>
    <t>RES000666</t>
  </si>
  <si>
    <t>Row666_Row81_Row2_Row72_Row64_Row2_Row0_Row3</t>
  </si>
  <si>
    <t>RES000667</t>
  </si>
  <si>
    <t>Row667_Row82_Row0_Row73_Row32_Row6_Row0_Row1</t>
  </si>
  <si>
    <t>RES000668</t>
  </si>
  <si>
    <t>Row668_Row286_Row1_Row177_Row21_Row5_Row0_Row4</t>
  </si>
  <si>
    <t>RES000669</t>
  </si>
  <si>
    <t>Row669_Row54_Row3_Row4_Row5_Row4_Row0_Row2</t>
  </si>
  <si>
    <t>RES000670</t>
  </si>
  <si>
    <t>855.08</t>
  </si>
  <si>
    <t>427.54</t>
  </si>
  <si>
    <t>348.89000000000004</t>
  </si>
  <si>
    <t>Row670_Row2_Row2_Row213_Row100_Row3_Row0_Row0</t>
  </si>
  <si>
    <t>RES000671</t>
  </si>
  <si>
    <t>Row671_Row347_Row0_Row192_Row122_Row1_Row0_Row3</t>
  </si>
  <si>
    <t>RES000672</t>
  </si>
  <si>
    <t>Row672_Row380_Row1_Row170_Row123_Row0_Row0_Row1</t>
  </si>
  <si>
    <t>RES000673</t>
  </si>
  <si>
    <t>Row673_Row45_Row3_Row112_Row89_Row2_Row0_Row4</t>
  </si>
  <si>
    <t>RES000674</t>
  </si>
  <si>
    <t>Row674_Row162_Row2_Row52_Row43_Row6_Row0_Row2</t>
  </si>
  <si>
    <t>RES000675</t>
  </si>
  <si>
    <t>Row675_Row106_Row0_Row96_Row79_Row5_Row0_Row0</t>
  </si>
  <si>
    <t>RES000676</t>
  </si>
  <si>
    <t>Row676_Row34_Row1_Row193_Row33_Row4_Row0_Row3</t>
  </si>
  <si>
    <t>RES000677</t>
  </si>
  <si>
    <t>Row677_Row79_Row3_Row81_Row107_Row3_Row0_Row1</t>
  </si>
  <si>
    <t>RES000678</t>
  </si>
  <si>
    <t>Row678_Row100_Row2_Row84_Row3_Row1_Row0_Row4</t>
  </si>
  <si>
    <t>RES000679</t>
  </si>
  <si>
    <t>Row679_Row235_Row0_Row229_Row87_Row0_Row0_Row2</t>
  </si>
  <si>
    <t>RES000680</t>
  </si>
  <si>
    <t>Row680_Row496_Row1_Row240_Row128_Row2_Row2_Row5</t>
  </si>
  <si>
    <t>RES000681</t>
  </si>
  <si>
    <t>Row681_Row580_Row3_Row248_Row158_Row6_Row2_Row5</t>
  </si>
  <si>
    <t>RES000682</t>
  </si>
  <si>
    <t>Row682_Row574_Row2_Row274_Row140_Row5_Row2_Row5</t>
  </si>
  <si>
    <t>RES000683</t>
  </si>
  <si>
    <t>Row683_Row523_Row0_Row246_Row146_Row4_Row3_Row5</t>
  </si>
  <si>
    <t>RES000684</t>
  </si>
  <si>
    <t>Row684_Row239_Row1_Row205_Row111_Row3_Row1_Row3</t>
  </si>
  <si>
    <t>RES000685</t>
  </si>
  <si>
    <t>152.6</t>
  </si>
  <si>
    <t>381.49</t>
  </si>
  <si>
    <t>195.38</t>
  </si>
  <si>
    <t>Row685_Row202_Row3_Row165_Row38_Row1_Row1_Row1</t>
  </si>
  <si>
    <t>RES000686</t>
  </si>
  <si>
    <t>Row686_Row367_Row2_Row117_Row82_Row0_Row0_Row1</t>
  </si>
  <si>
    <t>RES000687</t>
  </si>
  <si>
    <t>Row687_Row452_Row0_Row157_Row63_Row2_Row0_Row4</t>
  </si>
  <si>
    <t>RES000688</t>
  </si>
  <si>
    <t>Row688_Row355_Row1_Row169_Row16_Row6_Row0_Row2</t>
  </si>
  <si>
    <t>RES000689</t>
  </si>
  <si>
    <t>Row689_Row4_Row3_Row20_Row48_Row5_Row0_Row0</t>
  </si>
  <si>
    <t>RES000690</t>
  </si>
  <si>
    <t>Row690_Row431_Row2_Row40_Row2_Row4_Row0_Row3</t>
  </si>
  <si>
    <t>RES000691</t>
  </si>
  <si>
    <t>997.12</t>
  </si>
  <si>
    <t>Row691_Row254_Row0_Row209_Row84_Row3_Row0_Row1</t>
  </si>
  <si>
    <t>RES000692</t>
  </si>
  <si>
    <t>1770.27</t>
  </si>
  <si>
    <t>590.09</t>
  </si>
  <si>
    <t>Row692_Row240_Row1_Row119_Row72_Row1_Row0_Row4</t>
  </si>
  <si>
    <t>RES000693</t>
  </si>
  <si>
    <t>Row693_Row125_Row3_Row211_Row40_Row0_Row0_Row2</t>
  </si>
  <si>
    <t>RES000694</t>
  </si>
  <si>
    <t>Row694_Row31_Row2_Row28_Row27_Row2_Row0_Row0</t>
  </si>
  <si>
    <t>RES000695</t>
  </si>
  <si>
    <t>Row695_Row163_Row0_Row137_Row99_Row6_Row0_Row3</t>
  </si>
  <si>
    <t>RES000696</t>
  </si>
  <si>
    <t>Row696_Row256_Row1_Row87_Row29_Row5_Row0_Row1</t>
  </si>
  <si>
    <t>RES000697</t>
  </si>
  <si>
    <t>Row697_Row220_Row3_Row184_Row66_Row4_Row0_Row4</t>
  </si>
  <si>
    <t>RES000698</t>
  </si>
  <si>
    <t>1574.31</t>
  </si>
  <si>
    <t>524.77</t>
  </si>
  <si>
    <t>Row698_Row58_Row2_Row51_Row6_Row3_Row0_Row2</t>
  </si>
  <si>
    <t>RES000699</t>
  </si>
  <si>
    <t>522.51</t>
  </si>
  <si>
    <t>Row699_Row308_Row0_Row46_Row44_Row1_Row0_Row0</t>
  </si>
  <si>
    <t>RES000700</t>
  </si>
  <si>
    <t>Row700_Row563_Row1_Row247_Row139_Row0_Row2_Row5</t>
  </si>
  <si>
    <t>RES000701</t>
  </si>
  <si>
    <t>Row701_Row504_Row3_Row268_Row138_Row2_Row2_Row5</t>
  </si>
  <si>
    <t>RES000702</t>
  </si>
  <si>
    <t>Row702_Row540_Row2_Row290_Row156_Row6_Row2_Row5</t>
  </si>
  <si>
    <t>RES000703</t>
  </si>
  <si>
    <t>Row703_Row565_Row0_Row267_Row134_Row5_Row3_Row5</t>
  </si>
  <si>
    <t>RES000704</t>
  </si>
  <si>
    <t>Row704_Row365_Row1_Row227_Row62_Row4_Row1_Row1</t>
  </si>
  <si>
    <t>RES000705</t>
  </si>
  <si>
    <t>Row705_Row321_Row3_Row181_Row112_Row3_Row1_Row4</t>
  </si>
  <si>
    <t>RES000706</t>
  </si>
  <si>
    <t>242.41</t>
  </si>
  <si>
    <t>606.02</t>
  </si>
  <si>
    <t>Row706_Row288_Row2_Row116_Row91_Row1_Row0_Row4</t>
  </si>
  <si>
    <t>RES000707</t>
  </si>
  <si>
    <t>Row707_Row187_Row0_Row88_Row67_Row0_Row0_Row2</t>
  </si>
  <si>
    <t>RES000708</t>
  </si>
  <si>
    <t>Row708_Row208_Row1_Row106_Row117_Row2_Row0_Row0</t>
  </si>
  <si>
    <t>RES000709</t>
  </si>
  <si>
    <t>Row709_Row130_Row3_Row162_Row4_Row6_Row0_Row3</t>
  </si>
  <si>
    <t>RES000710</t>
  </si>
  <si>
    <t>Row710_Row44_Row2_Row150_Row49_Row5_Row0_Row1</t>
  </si>
  <si>
    <t>RES000711</t>
  </si>
  <si>
    <t>Row711_Row351_Row0_Row191_Row120_Row4_Row0_Row4</t>
  </si>
  <si>
    <t>RES000712</t>
  </si>
  <si>
    <t>Row712_Row207_Row1_Row23_Row92_Row3_Row0_Row2</t>
  </si>
  <si>
    <t>RES000713</t>
  </si>
  <si>
    <t>Row713_Row61_Row3_Row55_Row8_Row1_Row0_Row0</t>
  </si>
  <si>
    <t>RES000714</t>
  </si>
  <si>
    <t>Row714_Row115_Row2_Row86_Row51_Row0_Row0_Row3</t>
  </si>
  <si>
    <t>RES000715</t>
  </si>
  <si>
    <t>Row715_Row316_Row0_Row141_Row15_Row2_Row0_Row1</t>
  </si>
  <si>
    <t>RES000716</t>
  </si>
  <si>
    <t>Row716_Row98_Row1_Row14_Row110_Row6_Row0_Row4</t>
  </si>
  <si>
    <t>RES000717</t>
  </si>
  <si>
    <t>Row717_Row241_Row3_Row115_Row115_Row5_Row0_Row2</t>
  </si>
  <si>
    <t>RES000718</t>
  </si>
  <si>
    <t>Row718_Row146_Row2_Row100_Row97_Row4_Row0_Row0</t>
  </si>
  <si>
    <t>RES000719</t>
  </si>
  <si>
    <t>Row719_Row471_Row0_Row26_Row45_Row3_Row0_Row3</t>
  </si>
  <si>
    <t>RES000720</t>
  </si>
  <si>
    <t>147.4</t>
  </si>
  <si>
    <t>Row720_Row503_Row1_Row287_Row142_Row1_Row2_Row5</t>
  </si>
  <si>
    <t>RES000721</t>
  </si>
  <si>
    <t>Row721_Row530_Row3_Row292_Row136_Row0_Row2_Row5</t>
  </si>
  <si>
    <t>RES000722</t>
  </si>
  <si>
    <t>Row722_Row547_Row2_Row278_Row137_Row2_Row2_Row5</t>
  </si>
  <si>
    <t>RES000723</t>
  </si>
  <si>
    <t>Row723_Row528_Row0_Row265_Row155_Row6_Row3_Row5</t>
  </si>
  <si>
    <t>RES000724</t>
  </si>
  <si>
    <t>Row724_Row257_Row1_Row194_Row121_Row5_Row1_Row4</t>
  </si>
  <si>
    <t>RES000725</t>
  </si>
  <si>
    <t>Row725_Row148_Row3_Row126_Row52_Row4_Row1_Row2</t>
  </si>
  <si>
    <t>RES000726</t>
  </si>
  <si>
    <t>Row726_Row319_Row2_Row91_Row77_Row3_Row0_Row2</t>
  </si>
  <si>
    <t>RES000727</t>
  </si>
  <si>
    <t>Row727_Row99_Row0_Row54_Row109_Row1_Row0_Row0</t>
  </si>
  <si>
    <t>RES000728</t>
  </si>
  <si>
    <t>Row728_Row358_Row1_Row228_Row86_Row0_Row0_Row3</t>
  </si>
  <si>
    <t>RES000729</t>
  </si>
  <si>
    <t>Row729_Row339_Row3_Row203_Row90_Row2_Row0_Row1</t>
  </si>
  <si>
    <t>RES000730</t>
  </si>
  <si>
    <t>Row730_Row400_Row2_Row144_Row39_Row6_Row0_Row4</t>
  </si>
  <si>
    <t>RES000731</t>
  </si>
  <si>
    <t>Row731_Row168_Row0_Row142_Row101_Row5_Row0_Row2</t>
  </si>
  <si>
    <t>RES000732</t>
  </si>
  <si>
    <t>Row732_Row25_Row1_Row216_Row113_Row4_Row0_Row0</t>
  </si>
  <si>
    <t>RES000733</t>
  </si>
  <si>
    <t>Row733_Row173_Row3_Row145_Row102_Row3_Row0_Row3</t>
  </si>
  <si>
    <t>RES000734</t>
  </si>
  <si>
    <t>Row734_Row97_Row2_Row139_Row85_Row1_Row0_Row1</t>
  </si>
  <si>
    <t>RES000735</t>
  </si>
  <si>
    <t>Row735_Row167_Row0_Row146_Row10_Row0_Row0_Row4</t>
  </si>
  <si>
    <t>RES000736</t>
  </si>
  <si>
    <t>Row736_Row305_Row1_Row208_Row14_Row2_Row0_Row2</t>
  </si>
  <si>
    <t>RES000737</t>
  </si>
  <si>
    <t>Row737_Row139_Row3_Row78_Row25_Row6_Row0_Row0</t>
  </si>
  <si>
    <t>RES000738</t>
  </si>
  <si>
    <t>Row738_Row245_Row2_Row231_Row83_Row5_Row0_Row3</t>
  </si>
  <si>
    <t>RES000739</t>
  </si>
  <si>
    <t>Row739_Row28_Row0_Row29_Row114_Row4_Row0_Row1</t>
  </si>
  <si>
    <t>RES000740</t>
  </si>
  <si>
    <t>1718.22</t>
  </si>
  <si>
    <t>572.74</t>
  </si>
  <si>
    <t>Row740_Row539_Row1_Row273_Row135_Row3_Row2_Row5</t>
  </si>
  <si>
    <t>RES000741</t>
  </si>
  <si>
    <t>Row741_Row579_Row3_Row254_Row150_Row1_Row2_Row5</t>
  </si>
  <si>
    <t>RES000742</t>
  </si>
  <si>
    <t>Row742_Row544_Row2_Row264_Row159_Row0_Row2_Row5</t>
  </si>
  <si>
    <t>RES000743</t>
  </si>
  <si>
    <t>Row743_Row572_Row0_Row272_Row129_Row2_Row3_Row5</t>
  </si>
  <si>
    <t>RES000744</t>
  </si>
  <si>
    <t>Row744_Row62_Row1_Row56_Row54_Row6_Row1_Row2</t>
  </si>
  <si>
    <t>RES000745</t>
  </si>
  <si>
    <t>Row745_Row143_Row3_Row195_Row35_Row5_Row1_Row0</t>
  </si>
  <si>
    <t>RES000746</t>
  </si>
  <si>
    <t>Row746_Row68_Row2_Row61_Row57_Row4_Row0_Row0</t>
  </si>
  <si>
    <t>RES000747</t>
  </si>
  <si>
    <t>Row747_Row60_Row0_Row136_Row55_Row3_Row0_Row3</t>
  </si>
  <si>
    <t>RES000748</t>
  </si>
  <si>
    <t>2124.62</t>
  </si>
  <si>
    <t>1062.31</t>
  </si>
  <si>
    <t>Row748_Row322_Row1_Row153_Row76_Row1_Row0_Row1</t>
  </si>
  <si>
    <t>RES000749</t>
  </si>
  <si>
    <t>Row749_Row73_Row3_Row65_Row61_Row0_Row0_Row4</t>
  </si>
  <si>
    <t>RES000750</t>
  </si>
  <si>
    <t>Row750_Row258_Row2_Row234_Row13_Row2_Row0_Row2</t>
  </si>
  <si>
    <t>RES000751</t>
  </si>
  <si>
    <t>Row751_Row232_Row0_Row57_Row126_Row6_Row0_Row0</t>
  </si>
  <si>
    <t>RES000752</t>
  </si>
  <si>
    <t>Row752_Row289_Row1_Row63_Row1_Row5_Row0_Row3</t>
  </si>
  <si>
    <t>RES000753</t>
  </si>
  <si>
    <t>Row753_Row236_Row3_Row133_Row118_Row4_Row0_Row1</t>
  </si>
  <si>
    <t>RES000754</t>
  </si>
  <si>
    <t>1976.6</t>
  </si>
  <si>
    <t>988.3</t>
  </si>
  <si>
    <t>Row754_Row423_Row2_Row174_Row75_Row3_Row0_Row4</t>
  </si>
  <si>
    <t>RES000755</t>
  </si>
  <si>
    <t>4071.06</t>
  </si>
  <si>
    <t>1357.02</t>
  </si>
  <si>
    <t>Row755_Row150_Row0_Row128_Row46_Row1_Row0_Row2</t>
  </si>
  <si>
    <t>RES000756</t>
  </si>
  <si>
    <t>Row756_Row282_Row1_Row207_Row127_Row0_Row0_Row0</t>
  </si>
  <si>
    <t>RES000757</t>
  </si>
  <si>
    <t>Row757_Row7_Row3_Row6_Row7_Row2_Row0_Row3</t>
  </si>
  <si>
    <t>RES000758</t>
  </si>
  <si>
    <t>Row758_Row396_Row2_Row204_Row119_Row6_Row0_Row1</t>
  </si>
  <si>
    <t>RES000759</t>
  </si>
  <si>
    <t>Row759_Row281_Row0_Row33_Row24_Row5_Row0_Row4</t>
  </si>
  <si>
    <t>RES000760</t>
  </si>
  <si>
    <t>Row760_Row590_Row1_Row284_Row130_Row4_Row2_Row5</t>
  </si>
  <si>
    <t>RES000761</t>
  </si>
  <si>
    <t>Row761_Row512_Row3_Row283_Row145_Row3_Row2_Row5</t>
  </si>
  <si>
    <t>RES000762</t>
  </si>
  <si>
    <t>Row762_Row519_Row2_Row261_Row148_Row1_Row2_Row5</t>
  </si>
  <si>
    <t>RES000763</t>
  </si>
  <si>
    <t>Row763_Row588_Row0_Row288_Row144_Row0_Row3_Row5</t>
  </si>
  <si>
    <t>RES000764</t>
  </si>
  <si>
    <t>Row764_Row342_Row1_Row233_Row47_Row2_Row1_Row0</t>
  </si>
  <si>
    <t>RES000765</t>
  </si>
  <si>
    <t>Row765_Row311_Row3_Row221_Row95_Row6_Row1_Row3</t>
  </si>
  <si>
    <t>RES000766</t>
  </si>
  <si>
    <t>Row766_Row249_Row2_Row237_Row71_Row5_Row0_Row3</t>
  </si>
  <si>
    <t>RES000767</t>
  </si>
  <si>
    <t>Row767_Row181_Row0_Row151_Row53_Row4_Row0_Row1</t>
  </si>
  <si>
    <t>RES000768</t>
  </si>
  <si>
    <t>Row768_Row39_Row1_Row35_Row34_Row3_Row0_Row4</t>
  </si>
  <si>
    <t>RES000769</t>
  </si>
  <si>
    <t>Row769_Row13_Row3_Row12_Row12_Row1_Row0_Row2</t>
  </si>
  <si>
    <t>RES000770</t>
  </si>
  <si>
    <t>Row770_Row373_Row2_Row236_Row116_Row0_Row0_Row0</t>
  </si>
  <si>
    <t>RES000771</t>
  </si>
  <si>
    <t>Row771_Row63_Row0_Row105_Row11_Row2_Row0_Row3</t>
  </si>
  <si>
    <t>RES000772</t>
  </si>
  <si>
    <t>Row772_Row107_Row1_Row21_Row59_Row6_Row0_Row1</t>
  </si>
  <si>
    <t>RES000773</t>
  </si>
  <si>
    <t>Row773_Row157_Row3_Row134_Row69_Row5_Row0_Row4</t>
  </si>
  <si>
    <t>RES000774</t>
  </si>
  <si>
    <t>Row774_Row20_Row2_Row19_Row19_Row4_Row0_Row2</t>
  </si>
  <si>
    <t>RES000775</t>
  </si>
  <si>
    <t>1257.24</t>
  </si>
  <si>
    <t>628.62</t>
  </si>
  <si>
    <t>362.84000000000003</t>
  </si>
  <si>
    <t>Row775_Row301_Row0_Row9_Row88_Row3_Row0_Row0</t>
  </si>
  <si>
    <t>RES000776</t>
  </si>
  <si>
    <t>Row776_Row69_Row1_Row62_Row58_Row1_Row0_Row3</t>
  </si>
  <si>
    <t>RES000777</t>
  </si>
  <si>
    <t>Row777_Row109_Row3_Row98_Row81_Row0_Row0_Row1</t>
  </si>
  <si>
    <t>RES000778</t>
  </si>
  <si>
    <t>Row778_Row341_Row2_Row131_Row124_Row2_Row0_Row4</t>
  </si>
  <si>
    <t>RES000779</t>
  </si>
  <si>
    <t>Row779_Row36_Row0_Row147_Row106_Row6_Row0_Row2</t>
  </si>
  <si>
    <t>RES000780</t>
  </si>
  <si>
    <t>Row780_Row537_Row1_Row271_Row154_Row5_Row2_Row5</t>
  </si>
  <si>
    <t>RES000781</t>
  </si>
  <si>
    <t>Row781_Row551_Row3_Row277_Row143_Row4_Row2_Row5</t>
  </si>
  <si>
    <t>RES000782</t>
  </si>
  <si>
    <t>Row782_Row529_Row2_Row293_Row149_Row3_Row2_Row5</t>
  </si>
  <si>
    <t>RES000783</t>
  </si>
  <si>
    <t>Row783_Row564_Row0_Row279_Row153_Row1_Row3_Row5</t>
  </si>
  <si>
    <t>RES000784</t>
  </si>
  <si>
    <t>Row784_Row204_Row1_Row167_Row41_Row0_Row1_Row3</t>
  </si>
  <si>
    <t>RES000785</t>
  </si>
  <si>
    <t>Row785_Row333_Row3_Row64_Row104_Row2_Row1_Row1</t>
  </si>
  <si>
    <t>RES000786</t>
  </si>
  <si>
    <t>114.81</t>
  </si>
  <si>
    <t>Row786_Row71_Row2_Row50_Row37_Row6_Row0_Row1</t>
  </si>
  <si>
    <t>RES000787</t>
  </si>
  <si>
    <t>Row787_Row346_Row0_Row125_Row125_Row5_Row0_Row4</t>
  </si>
  <si>
    <t>RES000788</t>
  </si>
  <si>
    <t>2906.25</t>
  </si>
  <si>
    <t>968.75</t>
  </si>
  <si>
    <t>Row788_Row419_Row1_Row22_Row93_Row4_Row0_Row2</t>
  </si>
  <si>
    <t>RES000789</t>
  </si>
  <si>
    <t>Row789_Row350_Row3_Row186_Row105_Row3_Row0_Row0</t>
  </si>
  <si>
    <t>RES000790</t>
  </si>
  <si>
    <t>2294.58</t>
  </si>
  <si>
    <t>1147.29</t>
  </si>
  <si>
    <t>Row790_Row19_Row2_Row18_Row18_Row1_Row0_Row3</t>
  </si>
  <si>
    <t>RES000791</t>
  </si>
  <si>
    <t>Row791_Row118_Row0_Row206_Row22_Row0_Row0_Row1</t>
  </si>
  <si>
    <t>RES000792</t>
  </si>
  <si>
    <t>Row792_Row22_Row1_Row123_Row80_Row2_Row0_Row4</t>
  </si>
  <si>
    <t>RES000793</t>
  </si>
  <si>
    <t>Row793_Row33_Row3_Row30_Row28_Row6_Row0_Row2</t>
  </si>
  <si>
    <t>RES000794</t>
  </si>
  <si>
    <t>Row794_Row51_Row2_Row132_Row36_Row5_Row0_Row0</t>
  </si>
  <si>
    <t>RES000795</t>
  </si>
  <si>
    <t>Row795_Row10_Row0_Row71_Row96_Row4_Row0_Row3</t>
  </si>
  <si>
    <t>RES000796</t>
  </si>
  <si>
    <t>Row796_Row340_Row1_Row173_Row56_Row3_Row0_Row1</t>
  </si>
  <si>
    <t>RES000797</t>
  </si>
  <si>
    <t>Row797_Row225_Row3_Row121_Row17_Row1_Row0_Row4</t>
  </si>
  <si>
    <t>RES000798</t>
  </si>
  <si>
    <t>Row798_Row92_Row2_Row82_Row73_Row0_Row0_Row2</t>
  </si>
  <si>
    <t>RES000799</t>
  </si>
  <si>
    <t>Row799_Row176_Row0_Row163_Row31_Row2_Row0_Row0</t>
  </si>
  <si>
    <t>RES000800</t>
  </si>
  <si>
    <t>2813.7</t>
  </si>
  <si>
    <t>937.9</t>
  </si>
  <si>
    <t>Row800_Row501_Row1_Row245_Row133_Row6_Row2_Row5</t>
  </si>
  <si>
    <t>RES000801</t>
  </si>
  <si>
    <t>Row801_Row500_Row3_Row244_Row132_Row5_Row2_Row5</t>
  </si>
  <si>
    <t>RES000802</t>
  </si>
  <si>
    <t>Row802_Row569_Row2_Row289_Row151_Row4_Row2_Row5</t>
  </si>
  <si>
    <t>RES000803</t>
  </si>
  <si>
    <t>Row803_Row568_Row0_Row257_Row147_Row3_Row3_Row5</t>
  </si>
  <si>
    <t>RES000804</t>
  </si>
  <si>
    <t>Row804_Row405_Row1_Row155_Row70_Row1_Row1_Row1</t>
  </si>
  <si>
    <t>RES000805</t>
  </si>
  <si>
    <t>Row805_Row72_Row3_Row196_Row74_Row0_Row1_Row4</t>
  </si>
  <si>
    <t>RES000806</t>
  </si>
  <si>
    <t>Row806_Row200_Row2_Row97_Row50_Row2_Row0_Row4</t>
  </si>
  <si>
    <t>RES000807</t>
  </si>
  <si>
    <t>Row807_Row188_Row0_Row34_Row94_Row6_Row0_Row2</t>
  </si>
  <si>
    <t>RES000808</t>
  </si>
  <si>
    <t>Row808_Row23_Row1_Row111_Row78_Row5_Row0_Row0</t>
  </si>
  <si>
    <t>RES000809</t>
  </si>
  <si>
    <t>1974.69</t>
  </si>
  <si>
    <t>658.23</t>
  </si>
  <si>
    <t>Row809_Row294_Row3_Row160_Row42_Row4_Row0_Row3</t>
  </si>
  <si>
    <t>RES000810</t>
  </si>
  <si>
    <t>Row810_Row77_Row2_Row70_Row65_Row3_Row0_Row1</t>
  </si>
  <si>
    <t>RES000811</t>
  </si>
  <si>
    <t>828.3</t>
  </si>
  <si>
    <t>414.15</t>
  </si>
  <si>
    <t>Row811_Row352_Row0_Row222_Row0_Row1_Row0_Row4</t>
  </si>
  <si>
    <t>RES000812</t>
  </si>
  <si>
    <t>Row812_Row263_Row1_Row198_Row20_Row0_Row0_Row2</t>
  </si>
  <si>
    <t>RES000813</t>
  </si>
  <si>
    <t>Row813_Row83_Row3_Row74_Row68_Row2_Row0_Row0</t>
  </si>
  <si>
    <t>RES000814</t>
  </si>
  <si>
    <t>Row814_Row30_Row2_Row27_Row26_Row6_Row0_Row3</t>
  </si>
  <si>
    <t>RES000815</t>
  </si>
  <si>
    <t>Row815_Row105_Row0_Row95_Row9_Row5_Row0_Row1</t>
  </si>
  <si>
    <t>RES000816</t>
  </si>
  <si>
    <t>Row816_Row415_Row1_Row225_Row98_Row4_Row0_Row4</t>
  </si>
  <si>
    <t>RES000817</t>
  </si>
  <si>
    <t>Row817_Row461_Row3_Row183_Row23_Row3_Row0_Row2</t>
  </si>
  <si>
    <t>RES000818</t>
  </si>
  <si>
    <t>1239.3899999999999</t>
  </si>
  <si>
    <t>413.13</t>
  </si>
  <si>
    <t>Row818_Row216_Row2_Row104_Row30_Row1_Row0_Row0</t>
  </si>
  <si>
    <t>RES000819</t>
  </si>
  <si>
    <t>Row819_Row374_Row0_Row45_Row103_Row0_Row0_Row3</t>
  </si>
  <si>
    <t>RES000820</t>
  </si>
  <si>
    <t>Row820_Row576_Row1_Row286_Row157_Row2_Row2_Row5</t>
  </si>
  <si>
    <t>RES000821</t>
  </si>
  <si>
    <t>Row821_Row559_Row3_Row285_Row141_Row6_Row2_Row5</t>
  </si>
  <si>
    <t>RES000822</t>
  </si>
  <si>
    <t>Row822_Row535_Row2_Row251_Row152_Row5_Row2_Row5</t>
  </si>
  <si>
    <t>RES000823</t>
  </si>
  <si>
    <t>Row823_Row578_Row0_Row259_Row131_Row4_Row3_Row5</t>
  </si>
  <si>
    <t>RES000824</t>
  </si>
  <si>
    <t>Row824_Row377_Row1_Row159_Row108_Row3_Row1_Row4</t>
  </si>
  <si>
    <t>RES000825</t>
  </si>
  <si>
    <t>119.87</t>
  </si>
  <si>
    <t>299.68</t>
  </si>
  <si>
    <t>Row825_Row170_Row3_Row118_Row60_Row1_Row1_Row2</t>
  </si>
  <si>
    <t>RES000826</t>
  </si>
  <si>
    <t>Row826_Row272_Row2_Row185_Row64_Row0_Row0_Row2</t>
  </si>
  <si>
    <t>RES000827</t>
  </si>
  <si>
    <t>Row827_Row283_Row0_Row68_Row32_Row2_Row0_Row0</t>
  </si>
  <si>
    <t>RES000828</t>
  </si>
  <si>
    <t>Row828_Row124_Row1_Row16_Row21_Row6_Row0_Row3</t>
  </si>
  <si>
    <t>RES000829</t>
  </si>
  <si>
    <t>Row829_Row194_Row3_Row178_Row5_Row5_Row0_Row1</t>
  </si>
  <si>
    <t>RES000830</t>
  </si>
  <si>
    <t>1221.57</t>
  </si>
  <si>
    <t>407.19</t>
  </si>
  <si>
    <t>Row830_Row262_Row2_Row164_Row100_Row4_Row0_Row4</t>
  </si>
  <si>
    <t>RES000831</t>
  </si>
  <si>
    <t>Row831_Row260_Row0_Row102_Row122_Row3_Row0_Row2</t>
  </si>
  <si>
    <t>RES000832</t>
  </si>
  <si>
    <t>Row832_Row479_Row1_Row168_Row123_Row1_Row0_Row0</t>
  </si>
  <si>
    <t>RES000833</t>
  </si>
  <si>
    <t>Row833_Row110_Row3_Row58_Row89_Row0_Row0_Row3</t>
  </si>
  <si>
    <t>RES000834</t>
  </si>
  <si>
    <t>Row834_Row407_Row2_Row187_Row43_Row2_Row0_Row1</t>
  </si>
  <si>
    <t>RES000835</t>
  </si>
  <si>
    <t>Row835_Row179_Row0_Row149_Row79_Row6_Row0_Row4</t>
  </si>
  <si>
    <t>RES000836</t>
  </si>
  <si>
    <t>Row836_Row169_Row1_Row143_Row33_Row5_Row0_Row2</t>
  </si>
  <si>
    <t>RES000837</t>
  </si>
  <si>
    <t>Row837_Row182_Row3_Row152_Row107_Row4_Row0_Row0</t>
  </si>
  <si>
    <t>RES000838</t>
  </si>
  <si>
    <t>Row838_Row3_Row2_Row3_Row3_Row3_Row0_Row3</t>
  </si>
  <si>
    <t>RES000839</t>
  </si>
  <si>
    <t>Row839_Row49_Row0_Row107_Row87_Row1_Row0_Row1</t>
  </si>
  <si>
    <t>RES000840</t>
  </si>
  <si>
    <t>Row840_Row536_Row1_Row250_Row128_Row0_Row2_Row5</t>
  </si>
  <si>
    <t>RES000841</t>
  </si>
  <si>
    <t>Row841_Row585_Row3_Row294_Row158_Row2_Row2_Row5</t>
  </si>
  <si>
    <t>RES000842</t>
  </si>
  <si>
    <t>Row842_Row534_Row2_Row266_Row140_Row6_Row2_Row5</t>
  </si>
  <si>
    <t>RES000843</t>
  </si>
  <si>
    <t>Row843_Row587_Row0_Row291_Row146_Row5_Row3_Row5</t>
  </si>
  <si>
    <t>RES000844</t>
  </si>
  <si>
    <t>Row844_Row265_Row1_Row66_Row111_Row4_Row1_Row2</t>
  </si>
  <si>
    <t>RES000845</t>
  </si>
  <si>
    <t>Row845_Row193_Row3_Row53_Row38_Row3_Row1_Row0</t>
  </si>
  <si>
    <t>RES000846</t>
  </si>
  <si>
    <t>61.43</t>
  </si>
  <si>
    <t>153.57</t>
  </si>
  <si>
    <t>98.64999999999999</t>
  </si>
  <si>
    <t>Row846_Row111_Row2_Row99_Row82_Row1_Row0_Row0</t>
  </si>
  <si>
    <t>RES000847</t>
  </si>
  <si>
    <t>Row847_Row80_Row0_Row202_Row63_Row0_Row0_Row3</t>
  </si>
  <si>
    <t>RES000848</t>
  </si>
  <si>
    <t>Row848_Row299_Row1_Row109_Row16_Row2_Row0_Row1</t>
  </si>
  <si>
    <t>RES000849</t>
  </si>
  <si>
    <t>Row849_Row84_Row3_Row75_Row48_Row6_Row0_Row4</t>
  </si>
  <si>
    <t>RES000850</t>
  </si>
  <si>
    <t>Row850_Row323_Row2_Row101_Row2_Row5_Row0_Row2</t>
  </si>
  <si>
    <t>RES000851</t>
  </si>
  <si>
    <t>2843.19</t>
  </si>
  <si>
    <t>947.73</t>
  </si>
  <si>
    <t>Row851_Row222_Row0_Row171_Row84_Row4_Row0_Row0</t>
  </si>
  <si>
    <t>RES000852</t>
  </si>
  <si>
    <t>Row852_Row90_Row1_Row80_Row72_Row3_Row0_Row3</t>
  </si>
  <si>
    <t>RES000853</t>
  </si>
  <si>
    <t>Row853_Row158_Row3_Row182_Row40_Row1_Row0_Row1</t>
  </si>
  <si>
    <t>RES000854</t>
  </si>
  <si>
    <t>Row854_Row174_Row2_Row92_Row27_Row0_Row0_Row4</t>
  </si>
  <si>
    <t>RES000855</t>
  </si>
  <si>
    <t>Row855_Row219_Row0_Row15_Row99_Row2_Row0_Row2</t>
  </si>
  <si>
    <t>RES000856</t>
  </si>
  <si>
    <t>Row856_Row447_Row1_Row219_Row29_Row6_Row0_Row0</t>
  </si>
  <si>
    <t>RES000857</t>
  </si>
  <si>
    <t>Row857_Row295_Row3_Row79_Row66_Row5_Row0_Row3</t>
  </si>
  <si>
    <t>RES000858</t>
  </si>
  <si>
    <t>Row858_Row428_Row2_Row103_Row6_Row4_Row0_Row1</t>
  </si>
  <si>
    <t>RES000859</t>
  </si>
  <si>
    <t>Row859_Row189_Row0_Row190_Row44_Row3_Row0_Row4</t>
  </si>
  <si>
    <t>RES000860</t>
  </si>
  <si>
    <t>1714.83</t>
  </si>
  <si>
    <t>571.61</t>
  </si>
  <si>
    <t>Row860_Row511_Row1_Row256_Row139_Row1_Row2_Row5</t>
  </si>
  <si>
    <t>RES000861</t>
  </si>
  <si>
    <t>Row861_Row596_Row3_Row296_Row138_Row0_Row2_Row5</t>
  </si>
  <si>
    <t>RES000862</t>
  </si>
  <si>
    <t>Row862_Row526_Row2_Row255_Row156_Row2_Row2_Row5</t>
  </si>
  <si>
    <t>RES000863</t>
  </si>
  <si>
    <t>Row863_Row571_Row0_Row241_Row134_Row6_Row3_Row5</t>
  </si>
  <si>
    <t>RES000864</t>
  </si>
  <si>
    <t>Row864_Row224_Row1_Row180_Row62_Row5_Row1_Row0</t>
  </si>
  <si>
    <t>RES000865</t>
  </si>
  <si>
    <t>Row865_Row59_Row3_Row36_Row112_Row4_Row1_Row3</t>
  </si>
  <si>
    <t>RES000866</t>
  </si>
  <si>
    <t>Row866_Row293_Row2_Row93_Row91_Row3_Row0_Row3</t>
  </si>
  <si>
    <t>RES000867</t>
  </si>
  <si>
    <t>Row867_Row126_Row0_Row113_Row67_Row1_Row0_Row1</t>
  </si>
  <si>
    <t>RES000868</t>
  </si>
  <si>
    <t>Row868_Row121_Row1_Row217_Row117_Row0_Row0_Row4</t>
  </si>
  <si>
    <t>RES000869</t>
  </si>
  <si>
    <t>Row869_Row177_Row3_Row138_Row4_Row2_Row0_Row2</t>
  </si>
  <si>
    <t>RES000870</t>
  </si>
  <si>
    <t>Row870_Row273_Row2_Row13_Row49_Row6_Row0_Row0</t>
  </si>
  <si>
    <t>RES000871</t>
  </si>
  <si>
    <t>Row871_Row210_Row0_Row214_Row120_Row5_Row0_Row3</t>
  </si>
  <si>
    <t>RES000872</t>
  </si>
  <si>
    <t>Row872_Row326_Row1_Row1_Row92_Row4_Row0_Row1</t>
  </si>
  <si>
    <t>RES000873</t>
  </si>
  <si>
    <t>Row873_Row8_Row3_Row7_Row8_Row3_Row0_Row4</t>
  </si>
  <si>
    <t>RES000874</t>
  </si>
  <si>
    <t>Row874_Row122_Row2_Row230_Row51_Row1_Row0_Row2</t>
  </si>
  <si>
    <t>RES000875</t>
  </si>
  <si>
    <t>Row875_Row24_Row0_Row10_Row15_Row0_Row0_Row0</t>
  </si>
  <si>
    <t>RES000876</t>
  </si>
  <si>
    <t>Row876_Row307_Row1_Row154_Row110_Row2_Row0_Row3</t>
  </si>
  <si>
    <t>RES000877</t>
  </si>
  <si>
    <t>Row877_Row89_Row3_Row8_Row115_Row6_Row0_Row1</t>
  </si>
  <si>
    <t>RES000878</t>
  </si>
  <si>
    <t>Row878_Row116_Row2_Row232_Row97_Row5_Row0_Row4</t>
  </si>
  <si>
    <t>RES000879</t>
  </si>
  <si>
    <t>Row879_Row279_Row0_Row156_Row45_Row4_Row0_Row2</t>
  </si>
  <si>
    <t>RES000880</t>
  </si>
  <si>
    <t>1298.94</t>
  </si>
  <si>
    <t>649.47</t>
  </si>
  <si>
    <t>Row880_Row543_Row1_Row282_Row142_Row3_Row2_Row5</t>
  </si>
  <si>
    <t>RES000881</t>
  </si>
  <si>
    <t>Row881_Row509_Row3_Row252_Row136_Row1_Row2_Row5</t>
  </si>
  <si>
    <t>RES000882</t>
  </si>
  <si>
    <t>Row882_Row505_Row2_Row249_Row137_Row0_Row2_Row5</t>
  </si>
  <si>
    <t>RES000883</t>
  </si>
  <si>
    <t>Row883_Row497_Row0_Row258_Row155_Row2_Row3_Row5</t>
  </si>
  <si>
    <t>RES000884</t>
  </si>
  <si>
    <t>Row884_Row403_Row1_Row48_Row121_Row6_Row1_Row3</t>
  </si>
  <si>
    <t>RES000885</t>
  </si>
  <si>
    <t>Row885_Row40_Row3_Row189_Row52_Row5_Row1_Row1</t>
  </si>
  <si>
    <t>RES000886</t>
  </si>
  <si>
    <t>Row886_Row412_Row2_Row220_Row77_Row4_Row0_Row1</t>
  </si>
  <si>
    <t>RES000887</t>
  </si>
  <si>
    <t>Row887_Row303_Row0_Row215_Row109_Row3_Row0_Row4</t>
  </si>
  <si>
    <t>RES000888</t>
  </si>
  <si>
    <t>Row888_Row304_Row1_Row90_Row86_Row1_Row0_Row2</t>
  </si>
  <si>
    <t>RES000889</t>
  </si>
  <si>
    <t>Row889_Row164_Row3_Row238_Row90_Row0_Row0_Row0</t>
  </si>
  <si>
    <t>RES000890</t>
  </si>
  <si>
    <t>Row890_Row14_Row2_Row200_Row39_Row2_Row0_Row3</t>
  </si>
  <si>
    <t>RES000891</t>
  </si>
  <si>
    <t>Row891_Row218_Row0_Row11_Row101_Row6_Row0_Row1</t>
  </si>
  <si>
    <t>RES000892</t>
  </si>
  <si>
    <t>Row892_Row1_Row1_Row130_Row113_Row5_Row0_Row4</t>
  </si>
  <si>
    <t>RES000893</t>
  </si>
  <si>
    <t>Row893_Row376_Row3_Row76_Row102_Row4_Row0_Row2</t>
  </si>
  <si>
    <t>RES000894</t>
  </si>
  <si>
    <t>Row894_Row379_Row2_Row224_Row85_Row3_Row0_Row0</t>
  </si>
  <si>
    <t>RES000895</t>
  </si>
  <si>
    <t>Row895_Row93_Row0_Row47_Row10_Row1_Row0_Row3</t>
  </si>
  <si>
    <t>RES000896</t>
  </si>
  <si>
    <t>Row896_Row361_Row1_Row166_Row14_Row0_Row0_Row1</t>
  </si>
  <si>
    <t>RES000897</t>
  </si>
  <si>
    <t>Row897_Row9_Row3_Row140_Row25_Row2_Row0_Row4</t>
  </si>
  <si>
    <t>RES000898</t>
  </si>
  <si>
    <t>Row898_Row161_Row2_Row135_Row83_Row6_Row0_Row2</t>
  </si>
  <si>
    <t>RES000899</t>
  </si>
  <si>
    <t>Row899_Row186_Row0_Row226_Row114_Row5_Row0_Row0</t>
  </si>
  <si>
    <t>RES000900</t>
  </si>
  <si>
    <t>Etiquetas de fila</t>
  </si>
  <si>
    <t>Total general</t>
  </si>
  <si>
    <t>Suma de ingreso_total</t>
  </si>
  <si>
    <t>Suma de flag_cancelada</t>
  </si>
  <si>
    <t>Cuenta de id_reserva</t>
  </si>
  <si>
    <t>Canal</t>
  </si>
  <si>
    <t>Tasa_cancelacion</t>
  </si>
  <si>
    <t>Suma de flag_noshow</t>
  </si>
  <si>
    <t>Total</t>
  </si>
  <si>
    <t>Tasa</t>
  </si>
  <si>
    <t>Suma de habitaciones_ocupadas</t>
  </si>
  <si>
    <t>Suma de habitaciones_disponibles</t>
  </si>
  <si>
    <t>Tasa ocupación</t>
  </si>
  <si>
    <t>Suma de flag_ocupada</t>
  </si>
  <si>
    <t>Suma de ingreso_habitacion</t>
  </si>
  <si>
    <t>ADR propiedad</t>
  </si>
  <si>
    <t>RevPAR propiedad</t>
  </si>
  <si>
    <t>Propiedad</t>
  </si>
  <si>
    <t>ingreso_servicios_final</t>
  </si>
  <si>
    <t>Suma de ingreso_servicios_final</t>
  </si>
  <si>
    <t>Promedio de antelacion_reserva_dias</t>
  </si>
  <si>
    <t>propiedad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</si>
</sst>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2" borderId="1" xfId="0" applyFont="1" applyFill="1" applyBorder="1"/>
    <xf numFmtId="9" fontId="0" fillId="0" borderId="0" xfId="2" applyFont="1"/>
    <xf numFmtId="9" fontId="3" fillId="2" borderId="1" xfId="2" applyFont="1" applyFill="1" applyBorder="1"/>
    <xf numFmtId="9" fontId="3" fillId="2" borderId="2" xfId="2" applyFont="1" applyFill="1" applyBorder="1"/>
    <xf numFmtId="43" fontId="0" fillId="0" borderId="0" xfId="1" applyFont="1"/>
    <xf numFmtId="43" fontId="0" fillId="0" borderId="0" xfId="1" applyFont="1" applyAlignment="1">
      <alignment horizontal="center"/>
    </xf>
    <xf numFmtId="43" fontId="3" fillId="2" borderId="2" xfId="1" applyFont="1" applyFill="1" applyBorder="1" applyAlignment="1">
      <alignment horizontal="center"/>
    </xf>
    <xf numFmtId="43" fontId="3" fillId="2" borderId="2" xfId="1" applyFont="1" applyFill="1" applyBorder="1"/>
    <xf numFmtId="0" fontId="4" fillId="0" borderId="0" xfId="0" applyFont="1"/>
    <xf numFmtId="0" fontId="4" fillId="3" borderId="0" xfId="0" applyFont="1" applyFill="1"/>
    <xf numFmtId="0" fontId="2" fillId="2" borderId="1" xfId="0" applyFont="1" applyFill="1" applyBorder="1"/>
    <xf numFmtId="9" fontId="4" fillId="0" borderId="0" xfId="2" applyFont="1"/>
  </cellXfs>
  <cellStyles count="3">
    <cellStyle name="Millares" xfId="1" builtinId="3"/>
    <cellStyle name="Normal" xfId="0" builtinId="0"/>
    <cellStyle name="Porcentaje" xfId="2" builtinId="5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[Dashboards_fact_Reserva.xlsx]Dashboards!TablaDinámica4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 sz="1400" b="0" i="0" u="none" strike="noStrike" baseline="0"/>
              <a:t>Figura 1. Ingreso total por canal de reserva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Dashboards!$A$4:$A$11</c:f>
              <c:strCache>
                <c:ptCount val="7"/>
                <c:pt idx="0">
                  <c:v>Row2</c:v>
                </c:pt>
                <c:pt idx="1">
                  <c:v>Row35</c:v>
                </c:pt>
                <c:pt idx="2">
                  <c:v>Row4</c:v>
                </c:pt>
                <c:pt idx="3">
                  <c:v>Row3</c:v>
                </c:pt>
                <c:pt idx="4">
                  <c:v>Row20</c:v>
                </c:pt>
                <c:pt idx="5">
                  <c:v>Row0</c:v>
                </c:pt>
                <c:pt idx="6">
                  <c:v>Row34</c:v>
                </c:pt>
              </c:strCache>
            </c:strRef>
          </c:cat>
          <c:val>
            <c:numRef>
              <c:f>Dashboards!$B$4:$B$11</c:f>
              <c:numCache>
                <c:formatCode>General</c:formatCode>
                <c:ptCount val="7"/>
                <c:pt idx="0">
                  <c:v>1888</c:v>
                </c:pt>
                <c:pt idx="1">
                  <c:v>1243</c:v>
                </c:pt>
                <c:pt idx="2">
                  <c:v>1130</c:v>
                </c:pt>
                <c:pt idx="3">
                  <c:v>1130</c:v>
                </c:pt>
                <c:pt idx="4">
                  <c:v>1097</c:v>
                </c:pt>
                <c:pt idx="5">
                  <c:v>678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06-4323-9835-8CF2DF3D9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309295"/>
        <c:axId val="1329306895"/>
      </c:barChart>
      <c:catAx>
        <c:axId val="132930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329306895"/>
        <c:crosses val="autoZero"/>
        <c:auto val="1"/>
        <c:lblAlgn val="ctr"/>
        <c:lblOffset val="100"/>
        <c:noMultiLvlLbl val="0"/>
      </c:catAx>
      <c:valAx>
        <c:axId val="132930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32930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[Dashboards_fact_Reserva.xlsx]Dashboards!TablaDinámica6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 sz="1400" b="0" i="0" u="none" strike="noStrike" baseline="0"/>
              <a:t>Figura 2. Ingreso total por propiedad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Dashboards!$B$21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Dashboards!$A$22:$A$26</c:f>
              <c:strCache>
                <c:ptCount val="4"/>
                <c:pt idx="0">
                  <c:v>Row7</c:v>
                </c:pt>
                <c:pt idx="1">
                  <c:v>Row0</c:v>
                </c:pt>
                <c:pt idx="2">
                  <c:v>Row3</c:v>
                </c:pt>
                <c:pt idx="3">
                  <c:v>Row2</c:v>
                </c:pt>
              </c:strCache>
            </c:strRef>
          </c:cat>
          <c:val>
            <c:numRef>
              <c:f>Dashboards!$B$22:$B$26</c:f>
              <c:numCache>
                <c:formatCode>General</c:formatCode>
                <c:ptCount val="4"/>
                <c:pt idx="0">
                  <c:v>3842</c:v>
                </c:pt>
                <c:pt idx="1">
                  <c:v>2486</c:v>
                </c:pt>
                <c:pt idx="2">
                  <c:v>838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70-496C-BBD5-BD3487ECA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255535"/>
        <c:axId val="1329272335"/>
      </c:barChart>
      <c:catAx>
        <c:axId val="132925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329272335"/>
        <c:crosses val="autoZero"/>
        <c:auto val="1"/>
        <c:lblAlgn val="ctr"/>
        <c:lblOffset val="100"/>
        <c:noMultiLvlLbl val="0"/>
      </c:catAx>
      <c:valAx>
        <c:axId val="132927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329255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[Dashboards_fact_Reserva.xlsx]Dashboards!TablaDinámica19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 sz="1400" b="0" i="0" u="none" strike="noStrike" baseline="0"/>
              <a:t>Figura 8. Ingreso por servicios complementarios por canal</a:t>
            </a:r>
          </a:p>
        </c:rich>
      </c:tx>
      <c:layout>
        <c:manualLayout>
          <c:xMode val="edge"/>
          <c:yMode val="edge"/>
          <c:x val="0.1227845581802275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Dashboards!$B$116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Dashboards!$A$117:$A$124</c:f>
              <c:strCache>
                <c:ptCount val="7"/>
                <c:pt idx="0">
                  <c:v>Row2</c:v>
                </c:pt>
                <c:pt idx="1">
                  <c:v>Row35</c:v>
                </c:pt>
                <c:pt idx="2">
                  <c:v>Row0</c:v>
                </c:pt>
                <c:pt idx="3">
                  <c:v>Row34</c:v>
                </c:pt>
                <c:pt idx="4">
                  <c:v>Row3</c:v>
                </c:pt>
                <c:pt idx="5">
                  <c:v>Row20</c:v>
                </c:pt>
                <c:pt idx="6">
                  <c:v>Row4</c:v>
                </c:pt>
              </c:strCache>
            </c:strRef>
          </c:cat>
          <c:val>
            <c:numRef>
              <c:f>Dashboards!$B$117:$B$124</c:f>
              <c:numCache>
                <c:formatCode>General</c:formatCode>
                <c:ptCount val="7"/>
                <c:pt idx="0">
                  <c:v>15962.379999999986</c:v>
                </c:pt>
                <c:pt idx="1">
                  <c:v>15858.419999999986</c:v>
                </c:pt>
                <c:pt idx="2">
                  <c:v>15506.989999999989</c:v>
                </c:pt>
                <c:pt idx="3">
                  <c:v>15429.149999999994</c:v>
                </c:pt>
                <c:pt idx="4">
                  <c:v>15267.429999999988</c:v>
                </c:pt>
                <c:pt idx="5">
                  <c:v>15187.029999999997</c:v>
                </c:pt>
                <c:pt idx="6">
                  <c:v>14826.25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7F-47BA-BEBC-3ABE2FE8D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2581695"/>
        <c:axId val="2092598495"/>
      </c:barChart>
      <c:catAx>
        <c:axId val="2092581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2092598495"/>
        <c:crosses val="autoZero"/>
        <c:auto val="1"/>
        <c:lblAlgn val="ctr"/>
        <c:lblOffset val="100"/>
        <c:noMultiLvlLbl val="0"/>
      </c:catAx>
      <c:valAx>
        <c:axId val="209259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2092581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[Dashboards_fact_Reserva.xlsx]Dashboards!TablaDinámica20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s-C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Figura 9. Antelación promedio de reserva por canal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s-C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s-CR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s-CR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Dashboards!$B$132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Dashboards!$A$133:$A$140</c:f>
              <c:strCache>
                <c:ptCount val="7"/>
                <c:pt idx="0">
                  <c:v>Row35</c:v>
                </c:pt>
                <c:pt idx="1">
                  <c:v>Row3</c:v>
                </c:pt>
                <c:pt idx="2">
                  <c:v>Row34</c:v>
                </c:pt>
                <c:pt idx="3">
                  <c:v>Row20</c:v>
                </c:pt>
                <c:pt idx="4">
                  <c:v>Row2</c:v>
                </c:pt>
                <c:pt idx="5">
                  <c:v>Row0</c:v>
                </c:pt>
                <c:pt idx="6">
                  <c:v>Row4</c:v>
                </c:pt>
              </c:strCache>
            </c:strRef>
          </c:cat>
          <c:val>
            <c:numRef>
              <c:f>Dashboards!$B$133:$B$140</c:f>
              <c:numCache>
                <c:formatCode>General</c:formatCode>
                <c:ptCount val="7"/>
                <c:pt idx="0">
                  <c:v>45.953488372093027</c:v>
                </c:pt>
                <c:pt idx="1">
                  <c:v>45.651162790697676</c:v>
                </c:pt>
                <c:pt idx="2">
                  <c:v>45.558139534883722</c:v>
                </c:pt>
                <c:pt idx="3">
                  <c:v>45.5</c:v>
                </c:pt>
                <c:pt idx="4">
                  <c:v>45.390625</c:v>
                </c:pt>
                <c:pt idx="5">
                  <c:v>45.348837209302324</c:v>
                </c:pt>
                <c:pt idx="6">
                  <c:v>45.09375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88-4B3E-8004-3E6AD06D6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2635935"/>
        <c:axId val="2092640735"/>
      </c:barChart>
      <c:catAx>
        <c:axId val="209263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2092640735"/>
        <c:crosses val="autoZero"/>
        <c:auto val="1"/>
        <c:lblAlgn val="ctr"/>
        <c:lblOffset val="100"/>
        <c:noMultiLvlLbl val="0"/>
      </c:catAx>
      <c:valAx>
        <c:axId val="209264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209263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 sz="1400" b="0" i="0" u="none" strike="noStrike" baseline="0"/>
              <a:t>Figura 7. RevPAR por propiedad</a:t>
            </a:r>
            <a:endParaRPr lang="es-C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Dashboards!$G$102</c:f>
              <c:strCache>
                <c:ptCount val="1"/>
                <c:pt idx="0">
                  <c:v>RevPAR propiedad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Dashboards!$F$103:$F$106</c:f>
              <c:strCache>
                <c:ptCount val="4"/>
                <c:pt idx="0">
                  <c:v>Row0</c:v>
                </c:pt>
                <c:pt idx="1">
                  <c:v>Row2</c:v>
                </c:pt>
                <c:pt idx="2">
                  <c:v>Row3</c:v>
                </c:pt>
                <c:pt idx="3">
                  <c:v>Row7</c:v>
                </c:pt>
              </c:strCache>
            </c:strRef>
          </c:cat>
          <c:val>
            <c:numRef>
              <c:f>Dashboards!$G$103:$G$106</c:f>
              <c:numCache>
                <c:formatCode>General</c:formatCode>
                <c:ptCount val="4"/>
                <c:pt idx="0">
                  <c:v>38.671111111111117</c:v>
                </c:pt>
                <c:pt idx="1">
                  <c:v>0</c:v>
                </c:pt>
                <c:pt idx="2">
                  <c:v>16.760000000000002</c:v>
                </c:pt>
                <c:pt idx="3">
                  <c:v>55.244444444444447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EF-4967-BD98-7178F925A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424655"/>
        <c:axId val="453427055"/>
      </c:barChart>
      <c:catAx>
        <c:axId val="45342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453427055"/>
        <c:crosses val="autoZero"/>
        <c:auto val="1"/>
        <c:lblAlgn val="ctr"/>
        <c:lblOffset val="100"/>
        <c:noMultiLvlLbl val="0"/>
      </c:catAx>
      <c:valAx>
        <c:axId val="45342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453424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Figura 6. ADR por propiedad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Dashboards!$I$85</c:f>
              <c:strCache>
                <c:ptCount val="1"/>
                <c:pt idx="0">
                  <c:v>ADR propiedad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Dashboards!$F$86:$F$89</c:f>
              <c:strCache>
                <c:ptCount val="4"/>
                <c:pt idx="0">
                  <c:v>Row0</c:v>
                </c:pt>
                <c:pt idx="1">
                  <c:v>Row2</c:v>
                </c:pt>
                <c:pt idx="2">
                  <c:v>Row3</c:v>
                </c:pt>
                <c:pt idx="3">
                  <c:v>Row7</c:v>
                </c:pt>
              </c:strCache>
            </c:strRef>
          </c:cat>
          <c:val>
            <c:numRef>
              <c:f>Dashboards!$I$86:$I$89</c:f>
              <c:numCache>
                <c:formatCode>General</c:formatCode>
                <c:ptCount val="4"/>
                <c:pt idx="0">
                  <c:v>48.338888888888889</c:v>
                </c:pt>
                <c:pt idx="1">
                  <c:v>0</c:v>
                </c:pt>
                <c:pt idx="2">
                  <c:v>20.95</c:v>
                </c:pt>
                <c:pt idx="3">
                  <c:v>92.074074074074076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0-4BA1-9301-1C0508DC6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434255"/>
        <c:axId val="453417935"/>
      </c:barChart>
      <c:catAx>
        <c:axId val="45343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453417935"/>
        <c:crosses val="autoZero"/>
        <c:auto val="1"/>
        <c:lblAlgn val="ctr"/>
        <c:lblOffset val="100"/>
        <c:noMultiLvlLbl val="0"/>
      </c:catAx>
      <c:valAx>
        <c:axId val="45341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453434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Figura 5. Tasa de ocupación por propiedad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Dashboards!$I$69</c:f>
              <c:strCache>
                <c:ptCount val="1"/>
                <c:pt idx="0">
                  <c:v>Tasa ocupación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Dashboards!$F$70:$F$73</c:f>
              <c:strCache>
                <c:ptCount val="4"/>
                <c:pt idx="0">
                  <c:v>Row0</c:v>
                </c:pt>
                <c:pt idx="1">
                  <c:v>Row2</c:v>
                </c:pt>
                <c:pt idx="2">
                  <c:v>Row3</c:v>
                </c:pt>
                <c:pt idx="3">
                  <c:v>Row7</c:v>
                </c:pt>
              </c:strCache>
            </c:strRef>
          </c:cat>
          <c:val>
            <c:numRef>
              <c:f>Dashboards!$I$70:$I$73</c:f>
              <c:numCache>
                <c:formatCode>General</c:formatCode>
                <c:ptCount val="4"/>
                <c:pt idx="0">
                  <c:v>0.8</c:v>
                </c:pt>
                <c:pt idx="1">
                  <c:v>0.6</c:v>
                </c:pt>
                <c:pt idx="2">
                  <c:v>0.8</c:v>
                </c:pt>
                <c:pt idx="3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E5-40A0-9C52-462036632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409295"/>
        <c:axId val="453409775"/>
      </c:barChart>
      <c:catAx>
        <c:axId val="45340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453409775"/>
        <c:crosses val="autoZero"/>
        <c:auto val="1"/>
        <c:lblAlgn val="ctr"/>
        <c:lblOffset val="100"/>
        <c:noMultiLvlLbl val="0"/>
      </c:catAx>
      <c:valAx>
        <c:axId val="45340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453409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Figura 4. Tasa de no-show por canal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Dashboards!$I$53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Dashboards!$F$54:$F$60</c:f>
              <c:strCache>
                <c:ptCount val="7"/>
                <c:pt idx="0">
                  <c:v>Row0</c:v>
                </c:pt>
                <c:pt idx="1">
                  <c:v>Row2</c:v>
                </c:pt>
                <c:pt idx="2">
                  <c:v>Row20</c:v>
                </c:pt>
                <c:pt idx="3">
                  <c:v>Row3</c:v>
                </c:pt>
                <c:pt idx="4">
                  <c:v>Row34</c:v>
                </c:pt>
                <c:pt idx="5">
                  <c:v>Row35</c:v>
                </c:pt>
                <c:pt idx="6">
                  <c:v>Row4</c:v>
                </c:pt>
              </c:strCache>
            </c:strRef>
          </c:cat>
          <c:val>
            <c:numRef>
              <c:f>Dashboards!$I$54:$I$60</c:f>
              <c:numCache>
                <c:formatCode>General</c:formatCode>
                <c:ptCount val="7"/>
                <c:pt idx="0">
                  <c:v>4.6511627906976744E-2</c:v>
                </c:pt>
                <c:pt idx="1">
                  <c:v>4.6875E-2</c:v>
                </c:pt>
                <c:pt idx="2">
                  <c:v>4.6875E-2</c:v>
                </c:pt>
                <c:pt idx="3">
                  <c:v>5.4263565891472867E-2</c:v>
                </c:pt>
                <c:pt idx="4">
                  <c:v>5.4263565891472867E-2</c:v>
                </c:pt>
                <c:pt idx="5">
                  <c:v>5.4263565891472867E-2</c:v>
                </c:pt>
                <c:pt idx="6">
                  <c:v>4.6875E-2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D2-4B61-B4A9-4D075E6BA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2600895"/>
        <c:axId val="2092585535"/>
      </c:barChart>
      <c:catAx>
        <c:axId val="209260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2092585535"/>
        <c:crosses val="autoZero"/>
        <c:auto val="1"/>
        <c:lblAlgn val="ctr"/>
        <c:lblOffset val="100"/>
        <c:noMultiLvlLbl val="0"/>
      </c:catAx>
      <c:valAx>
        <c:axId val="209258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2092600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Figura 3. Tasa de cancelación por canal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Dashboards!$I$37</c:f>
              <c:strCache>
                <c:ptCount val="1"/>
                <c:pt idx="0">
                  <c:v>Tasa_cancelacion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Dashboards!$F$38:$F$44</c:f>
              <c:strCache>
                <c:ptCount val="7"/>
                <c:pt idx="0">
                  <c:v>Row0</c:v>
                </c:pt>
                <c:pt idx="1">
                  <c:v>Row2</c:v>
                </c:pt>
                <c:pt idx="2">
                  <c:v>Row3</c:v>
                </c:pt>
                <c:pt idx="3">
                  <c:v>Row4</c:v>
                </c:pt>
                <c:pt idx="4">
                  <c:v>Row35</c:v>
                </c:pt>
                <c:pt idx="5">
                  <c:v>Row20</c:v>
                </c:pt>
                <c:pt idx="6">
                  <c:v>Row34</c:v>
                </c:pt>
              </c:strCache>
            </c:strRef>
          </c:cat>
          <c:val>
            <c:numRef>
              <c:f>Dashboards!$I$38:$I$44</c:f>
              <c:numCache>
                <c:formatCode>0%</c:formatCode>
                <c:ptCount val="7"/>
                <c:pt idx="0">
                  <c:v>0.16279069767441862</c:v>
                </c:pt>
                <c:pt idx="1">
                  <c:v>0.15625</c:v>
                </c:pt>
                <c:pt idx="2">
                  <c:v>0.15503875968992248</c:v>
                </c:pt>
                <c:pt idx="3">
                  <c:v>0.1484375</c:v>
                </c:pt>
                <c:pt idx="4">
                  <c:v>0.14728682170542637</c:v>
                </c:pt>
                <c:pt idx="5">
                  <c:v>0.140625</c:v>
                </c:pt>
                <c:pt idx="6">
                  <c:v>0.13953488372093023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F7-4786-85C1-FF5F721BA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441935"/>
        <c:axId val="453442415"/>
      </c:barChart>
      <c:catAx>
        <c:axId val="453441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453442415"/>
        <c:crosses val="autoZero"/>
        <c:auto val="1"/>
        <c:lblAlgn val="ctr"/>
        <c:lblOffset val="100"/>
        <c:noMultiLvlLbl val="0"/>
      </c:catAx>
      <c:valAx>
        <c:axId val="45344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453441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384810</xdr:colOff>
      <xdr:row>1</xdr:row>
      <xdr:rowOff>156210</xdr:rowOff>
    </xdr:from>
    <xdr:to>
      <xdr:col>7</xdr:col>
      <xdr:colOff>502920</xdr:colOff>
      <xdr:row>13</xdr:row>
      <xdr:rowOff>91440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072069-1E60-AD6D-0D6C-7D9E1E1049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697230</xdr:colOff>
      <xdr:row>19</xdr:row>
      <xdr:rowOff>156210</xdr:rowOff>
    </xdr:from>
    <xdr:to>
      <xdr:col>7</xdr:col>
      <xdr:colOff>274320</xdr:colOff>
      <xdr:row>31</xdr:row>
      <xdr:rowOff>91440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A57C4C7-D0FE-AAA2-B7C3-4B3374463E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1055370</xdr:colOff>
      <xdr:row>115</xdr:row>
      <xdr:rowOff>11430</xdr:rowOff>
    </xdr:from>
    <xdr:to>
      <xdr:col>7</xdr:col>
      <xdr:colOff>190500</xdr:colOff>
      <xdr:row>125</xdr:row>
      <xdr:rowOff>106680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BFF33113-6549-3F0F-5A2E-22B45238AB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605790</xdr:colOff>
      <xdr:row>129</xdr:row>
      <xdr:rowOff>179070</xdr:rowOff>
    </xdr:from>
    <xdr:to>
      <xdr:col>6</xdr:col>
      <xdr:colOff>723900</xdr:colOff>
      <xdr:row>142</xdr:row>
      <xdr:rowOff>167640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2E04C1EA-7004-C9C5-B93E-79699D8FB0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548640</xdr:colOff>
      <xdr:row>99</xdr:row>
      <xdr:rowOff>118110</xdr:rowOff>
    </xdr:from>
    <xdr:to>
      <xdr:col>6</xdr:col>
      <xdr:colOff>182880</xdr:colOff>
      <xdr:row>110</xdr:row>
      <xdr:rowOff>129540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3BEAF3C8-8DFC-7FEE-18FE-83BB153C71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373380</xdr:colOff>
      <xdr:row>83</xdr:row>
      <xdr:rowOff>57150</xdr:rowOff>
    </xdr:from>
    <xdr:to>
      <xdr:col>9</xdr:col>
      <xdr:colOff>388620</xdr:colOff>
      <xdr:row>93</xdr:row>
      <xdr:rowOff>30480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9242ACB-700B-4505-2CA5-DBA778A2AD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525780</xdr:colOff>
      <xdr:row>66</xdr:row>
      <xdr:rowOff>87630</xdr:rowOff>
    </xdr:from>
    <xdr:to>
      <xdr:col>10</xdr:col>
      <xdr:colOff>91440</xdr:colOff>
      <xdr:row>75</xdr:row>
      <xdr:rowOff>137160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1ADE9533-9F1D-8D36-60D2-2E12C0252B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624840</xdr:colOff>
      <xdr:row>51</xdr:row>
      <xdr:rowOff>72390</xdr:rowOff>
    </xdr:from>
    <xdr:to>
      <xdr:col>9</xdr:col>
      <xdr:colOff>579120</xdr:colOff>
      <xdr:row>63</xdr:row>
      <xdr:rowOff>167640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7C4218B7-0BCE-4487-1C3A-EED1105CD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525780</xdr:colOff>
      <xdr:row>35</xdr:row>
      <xdr:rowOff>41910</xdr:rowOff>
    </xdr:from>
    <xdr:to>
      <xdr:col>9</xdr:col>
      <xdr:colOff>518160</xdr:colOff>
      <xdr:row>46</xdr:row>
      <xdr:rowOff>76200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5AD676E6-A234-E3B4-B3E6-C76639EAAC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ylan andres retana arce" refreshedDate="46134.658669560187" createdVersion="8" refreshedVersion="8" minRefreshableVersion="3" recordCount="900" xr:uid="{5F640006-4EB6-455B-888E-37471BAC5E67}">
  <cacheSource type="worksheet">
    <worksheetSource name="fact_reserva"/>
  </cacheSource>
  <cacheFields count="27">
    <cacheField name="sk_fact_reserva" numFmtId="0">
      <sharedItems/>
    </cacheField>
    <cacheField name="id_reserva" numFmtId="0">
      <sharedItems containsSemiMixedTypes="0" containsString="0" containsNumber="1" containsInteger="1" minValue="1" maxValue="900"/>
    </cacheField>
    <cacheField name="codigo_reserva" numFmtId="0">
      <sharedItems/>
    </cacheField>
    <cacheField name="sk_fecha" numFmtId="0">
      <sharedItems/>
    </cacheField>
    <cacheField name="sk_propiedad" numFmtId="0">
      <sharedItems count="4">
        <s v="Row2"/>
        <s v="Row7"/>
        <s v="Row3"/>
        <s v="Row0"/>
      </sharedItems>
    </cacheField>
    <cacheField name="sk_huesped" numFmtId="0">
      <sharedItems/>
    </cacheField>
    <cacheField name="sk_habitacion" numFmtId="0">
      <sharedItems/>
    </cacheField>
    <cacheField name="sk_canal" numFmtId="0">
      <sharedItems count="7">
        <s v="Row0"/>
        <s v="Row3"/>
        <s v="Row35"/>
        <s v="Row34"/>
        <s v="Row20"/>
        <s v="Row4"/>
        <s v="Row2"/>
      </sharedItems>
    </cacheField>
    <cacheField name="sk_estado" numFmtId="0">
      <sharedItems/>
    </cacheField>
    <cacheField name="sk_metodo_pago" numFmtId="0">
      <sharedItems/>
    </cacheField>
    <cacheField name="monto_pago_limpio" numFmtId="0">
      <sharedItems/>
    </cacheField>
    <cacheField name="adultos" numFmtId="0">
      <sharedItems containsSemiMixedTypes="0" containsString="0" containsNumber="1" containsInteger="1" minValue="1" maxValue="3"/>
    </cacheField>
    <cacheField name="ninos" numFmtId="0">
      <sharedItems containsSemiMixedTypes="0" containsString="0" containsNumber="1" containsInteger="1" minValue="0" maxValue="2"/>
    </cacheField>
    <cacheField name="infantes" numFmtId="0">
      <sharedItems containsSemiMixedTypes="0" containsString="0" containsNumber="1" containsInteger="1" minValue="0" maxValue="1"/>
    </cacheField>
    <cacheField name="noches_estadia" numFmtId="0">
      <sharedItems containsSemiMixedTypes="0" containsString="0" containsNumber="1" containsInteger="1" minValue="1" maxValue="6"/>
    </cacheField>
    <cacheField name="cantidad_huespedes" numFmtId="0">
      <sharedItems containsSemiMixedTypes="0" containsString="0" containsNumber="1" containsInteger="1" minValue="1" maxValue="6"/>
    </cacheField>
    <cacheField name="flag_cancelada" numFmtId="0">
      <sharedItems containsSemiMixedTypes="0" containsString="0" containsNumber="1" containsInteger="1" minValue="0" maxValue="1"/>
    </cacheField>
    <cacheField name="flag_noshow" numFmtId="0">
      <sharedItems containsSemiMixedTypes="0" containsString="0" containsNumber="1" containsInteger="1" minValue="0" maxValue="1"/>
    </cacheField>
    <cacheField name="flag_completada" numFmtId="0">
      <sharedItems containsSemiMixedTypes="0" containsString="0" containsNumber="1" containsInteger="1" minValue="0" maxValue="1"/>
    </cacheField>
    <cacheField name="flag_ocupada" numFmtId="0">
      <sharedItems containsSemiMixedTypes="0" containsString="0" containsNumber="1" containsInteger="1" minValue="0" maxValue="1"/>
    </cacheField>
    <cacheField name="ingreso_total" numFmtId="0">
      <sharedItems containsMixedTypes="1" containsNumber="1" containsInteger="1" minValue="226" maxValue="1243"/>
    </cacheField>
    <cacheField name="ingreso_servicios" numFmtId="0">
      <sharedItems containsMixedTypes="1" containsNumber="1" containsInteger="1" minValue="0" maxValue="0"/>
    </cacheField>
    <cacheField name="ingreso_servicios_final" numFmtId="0">
      <sharedItems containsSemiMixedTypes="0" containsString="0" containsNumber="1" minValue="0" maxValue="301.70999999999998"/>
    </cacheField>
    <cacheField name="ingreso_habitacion" numFmtId="0">
      <sharedItems containsMixedTypes="1" containsNumber="1" containsInteger="1" minValue="226" maxValue="1243"/>
    </cacheField>
    <cacheField name="habitaciones_disponibles" numFmtId="0">
      <sharedItems containsSemiMixedTypes="0" containsString="0" containsNumber="1" containsInteger="1" minValue="1" maxValue="1"/>
    </cacheField>
    <cacheField name="habitaciones_ocupadas" numFmtId="0">
      <sharedItems containsSemiMixedTypes="0" containsString="0" containsNumber="1" containsInteger="1" minValue="0" maxValue="1"/>
    </cacheField>
    <cacheField name="antelacion_reserva_dias" numFmtId="0">
      <sharedItems containsSemiMixedTypes="0" containsString="0" containsNumber="1" containsInteger="1" minValue="1" maxValue="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0">
  <r>
    <s v="Row0_Row595_Row1_Row242_Row133_Row0_Row2_Row5"/>
    <n v="1"/>
    <s v="RES000001"/>
    <s v="Row1475"/>
    <x v="0"/>
    <s v="Row1352"/>
    <s v="Row1355"/>
    <x v="0"/>
    <s v="Row1350"/>
    <s v="Row1350"/>
    <s v="0"/>
    <n v="1"/>
    <n v="0"/>
    <n v="0"/>
    <n v="2"/>
    <n v="1"/>
    <n v="1"/>
    <n v="0"/>
    <n v="0"/>
    <n v="0"/>
    <s v="135.6"/>
    <n v="0"/>
    <n v="0"/>
    <s v="135.6"/>
    <n v="1"/>
    <n v="0"/>
    <n v="2"/>
  </r>
  <r>
    <s v="Row1_Row531_Row3_Row269_Row132_Row2_Row2_Row5"/>
    <n v="2"/>
    <s v="RES000002"/>
    <s v="Row1388"/>
    <x v="1"/>
    <s v="Row1388"/>
    <s v="Row1354"/>
    <x v="1"/>
    <s v="Row1350"/>
    <s v="Row1350"/>
    <s v="0"/>
    <n v="1"/>
    <n v="0"/>
    <n v="0"/>
    <n v="3"/>
    <n v="1"/>
    <n v="1"/>
    <n v="0"/>
    <n v="0"/>
    <n v="0"/>
    <s v="220.35"/>
    <n v="0"/>
    <n v="0"/>
    <s v="220.35"/>
    <n v="1"/>
    <n v="0"/>
    <n v="3"/>
  </r>
  <r>
    <s v="Row2_Row581_Row2_Row281_Row151_Row6_Row2_Row5"/>
    <n v="3"/>
    <s v="RES000003"/>
    <s v="Row1451"/>
    <x v="2"/>
    <s v="Row1407"/>
    <s v="Row1386"/>
    <x v="2"/>
    <s v="Row1350"/>
    <s v="Row1350"/>
    <s v="0"/>
    <n v="2"/>
    <n v="0"/>
    <n v="0"/>
    <n v="4"/>
    <n v="2"/>
    <n v="1"/>
    <n v="0"/>
    <n v="0"/>
    <n v="0"/>
    <s v="316.4"/>
    <n v="0"/>
    <n v="0"/>
    <s v="316.4"/>
    <n v="1"/>
    <n v="0"/>
    <n v="4"/>
  </r>
  <r>
    <s v="Row3_Row533_Row0_Row275_Row147_Row5_Row3_Row5"/>
    <n v="4"/>
    <s v="RES000004"/>
    <s v="Row1390"/>
    <x v="3"/>
    <s v="Row1398"/>
    <s v="Row1373"/>
    <x v="3"/>
    <s v="Row1351"/>
    <s v="Row1350"/>
    <s v="0"/>
    <n v="2"/>
    <n v="1"/>
    <n v="0"/>
    <n v="5"/>
    <n v="3"/>
    <n v="0"/>
    <n v="1"/>
    <n v="0"/>
    <n v="0"/>
    <s v="423.75"/>
    <n v="0"/>
    <n v="0"/>
    <s v="423.75"/>
    <n v="1"/>
    <n v="0"/>
    <n v="5"/>
  </r>
  <r>
    <s v="Row4_Row197_Row1_Row42_Row70_Row4_Row1_Row1"/>
    <n v="5"/>
    <s v="RES000005"/>
    <s v="Row402"/>
    <x v="0"/>
    <s v="Row95"/>
    <s v="Row167"/>
    <x v="4"/>
    <s v="Row87"/>
    <s v="Row2"/>
    <s v="163.62"/>
    <n v="2"/>
    <n v="0"/>
    <n v="0"/>
    <n v="6"/>
    <n v="2"/>
    <n v="0"/>
    <n v="0"/>
    <n v="0"/>
    <n v="0"/>
    <s v="409.06"/>
    <s v="22.6"/>
    <n v="22.6"/>
    <s v="386.46"/>
    <n v="1"/>
    <n v="0"/>
    <n v="6"/>
  </r>
  <r>
    <s v="Row5_Row178_Row3_Row188_Row74_Row3_Row1_Row4"/>
    <n v="6"/>
    <s v="RES000006"/>
    <s v="Row353"/>
    <x v="1"/>
    <s v="Row522"/>
    <s v="Row178"/>
    <x v="5"/>
    <s v="Row87"/>
    <s v="Row9"/>
    <s v="51.35"/>
    <n v="3"/>
    <n v="2"/>
    <n v="0"/>
    <n v="1"/>
    <n v="5"/>
    <n v="0"/>
    <n v="0"/>
    <n v="0"/>
    <n v="0"/>
    <s v="128.37"/>
    <s v="54.92"/>
    <n v="54.92"/>
    <s v="73.45"/>
    <n v="1"/>
    <n v="0"/>
    <n v="7"/>
  </r>
  <r>
    <s v="Row6_Row244_Row2_Row38_Row50_Row1_Row0_Row4"/>
    <n v="7"/>
    <s v="RES000007"/>
    <s v="Row518"/>
    <x v="2"/>
    <s v="Row89"/>
    <s v="Row118"/>
    <x v="6"/>
    <s v="Row0"/>
    <s v="Row9"/>
    <s v="865.58"/>
    <n v="3"/>
    <n v="0"/>
    <n v="0"/>
    <n v="2"/>
    <n v="3"/>
    <n v="0"/>
    <n v="0"/>
    <n v="1"/>
    <n v="1"/>
    <s v="432.79"/>
    <s v="274.59"/>
    <n v="274.58999999999997"/>
    <s v="158.20000000000005"/>
    <n v="1"/>
    <n v="1"/>
    <n v="8"/>
  </r>
  <r>
    <s v="Row7_Row226_Row0_Row122_Row94_Row0_Row0_Row2"/>
    <n v="8"/>
    <s v="RES000008"/>
    <s v="Row470"/>
    <x v="3"/>
    <s v="Row269"/>
    <s v="Row277"/>
    <x v="0"/>
    <s v="Row0"/>
    <s v="Row3"/>
    <s v="1450.92"/>
    <n v="3"/>
    <n v="1"/>
    <n v="0"/>
    <n v="3"/>
    <n v="4"/>
    <n v="0"/>
    <n v="0"/>
    <n v="1"/>
    <n v="1"/>
    <s v="483.64"/>
    <s v="229.39000000000001"/>
    <n v="229.39"/>
    <s v="254.24999999999997"/>
    <n v="1"/>
    <n v="1"/>
    <n v="9"/>
  </r>
  <r>
    <s v="Row8_Row147_Row1_Row175_Row78_Row2_Row0_Row0"/>
    <n v="9"/>
    <s v="RES000009"/>
    <s v="Row289"/>
    <x v="0"/>
    <s v="Row435"/>
    <s v="Row198"/>
    <x v="1"/>
    <s v="Row0"/>
    <s v="Row0"/>
    <s v="320.92"/>
    <n v="3"/>
    <n v="0"/>
    <n v="0"/>
    <n v="4"/>
    <n v="3"/>
    <n v="0"/>
    <n v="0"/>
    <n v="1"/>
    <n v="1"/>
    <s v="320.92"/>
    <s v="76.84"/>
    <n v="76.84"/>
    <s v="244.08"/>
    <n v="1"/>
    <n v="1"/>
    <n v="10"/>
  </r>
  <r>
    <s v="Row9_Row47_Row3_Row43_Row42_Row6_Row0_Row3"/>
    <n v="10"/>
    <s v="RES000010"/>
    <s v="Row96"/>
    <x v="1"/>
    <s v="Row96"/>
    <s v="Row96"/>
    <x v="2"/>
    <s v="Row0"/>
    <s v="Row4"/>
    <s v="858.24"/>
    <n v="1"/>
    <n v="0"/>
    <n v="0"/>
    <n v="5"/>
    <n v="1"/>
    <n v="0"/>
    <n v="0"/>
    <n v="1"/>
    <n v="1"/>
    <s v="429.12"/>
    <s v="80.22999999999999"/>
    <n v="80.229999999999905"/>
    <s v="348.89"/>
    <n v="1"/>
    <n v="1"/>
    <n v="11"/>
  </r>
  <r>
    <s v="Row10_Row318_Row2_Row179_Row65_Row5_Row0_Row1"/>
    <n v="11"/>
    <s v="RES000011"/>
    <s v="Row710"/>
    <x v="2"/>
    <s v="Row459"/>
    <s v="Row150"/>
    <x v="3"/>
    <s v="Row0"/>
    <s v="Row2"/>
    <s v="2171.9700000000003"/>
    <n v="1"/>
    <n v="0"/>
    <n v="0"/>
    <n v="6"/>
    <n v="1"/>
    <n v="0"/>
    <n v="0"/>
    <n v="1"/>
    <n v="1"/>
    <s v="723.99"/>
    <s v="249.39000000000001"/>
    <n v="249.39"/>
    <s v="474.6"/>
    <n v="1"/>
    <n v="1"/>
    <n v="12"/>
  </r>
  <r>
    <s v="Row11_Row26_Row0_Row120_Row0_Row4_Row0_Row4"/>
    <n v="12"/>
    <s v="RES000012"/>
    <s v="Row56"/>
    <x v="3"/>
    <s v="Row260"/>
    <s v="Row0"/>
    <x v="4"/>
    <s v="Row0"/>
    <s v="Row9"/>
    <s v="132.21"/>
    <n v="1"/>
    <n v="2"/>
    <n v="1"/>
    <n v="1"/>
    <n v="4"/>
    <n v="0"/>
    <n v="0"/>
    <n v="1"/>
    <n v="1"/>
    <s v="132.21"/>
    <s v="47.46"/>
    <n v="47.46"/>
    <s v="84.75"/>
    <n v="1"/>
    <n v="1"/>
    <n v="13"/>
  </r>
  <r>
    <s v="Row12_Row55_Row1_Row49_Row20_Row3_Row0_Row2"/>
    <n v="13"/>
    <s v="RES000013"/>
    <s v="Row114"/>
    <x v="0"/>
    <s v="Row114"/>
    <s v="Row48"/>
    <x v="5"/>
    <s v="Row0"/>
    <s v="Row3"/>
    <s v="833.26"/>
    <n v="2"/>
    <n v="0"/>
    <n v="0"/>
    <n v="2"/>
    <n v="2"/>
    <n v="0"/>
    <n v="0"/>
    <n v="1"/>
    <n v="1"/>
    <s v="416.63"/>
    <s v="281.03000000000003"/>
    <n v="281.02999999999997"/>
    <s v="135.59999999999997"/>
    <n v="1"/>
    <n v="1"/>
    <n v="14"/>
  </r>
  <r>
    <s v="Row13_Row192_Row3_Row210_Row68_Row1_Row0_Row0"/>
    <n v="14"/>
    <s v="RES000014"/>
    <s v="Row385"/>
    <x v="1"/>
    <s v="Row618"/>
    <s v="Row162"/>
    <x v="6"/>
    <s v="Row0"/>
    <s v="Row0"/>
    <s v="1267.8600000000001"/>
    <n v="2"/>
    <n v="0"/>
    <n v="0"/>
    <n v="3"/>
    <n v="2"/>
    <n v="0"/>
    <n v="0"/>
    <n v="1"/>
    <n v="1"/>
    <s v="422.62"/>
    <s v="202.26999999999998"/>
    <n v="202.26999999999899"/>
    <s v="220.35000000000002"/>
    <n v="1"/>
    <n v="1"/>
    <n v="15"/>
  </r>
  <r>
    <s v="Row14_Row371_Row2_Row37_Row26_Row0_Row0_Row3"/>
    <n v="15"/>
    <s v="RES000015"/>
    <s v="Row876"/>
    <x v="2"/>
    <s v="Row88"/>
    <s v="Row65"/>
    <x v="0"/>
    <s v="Row0"/>
    <s v="Row4"/>
    <s v="332.22"/>
    <n v="2"/>
    <n v="0"/>
    <n v="0"/>
    <n v="4"/>
    <n v="2"/>
    <n v="0"/>
    <n v="0"/>
    <n v="1"/>
    <n v="1"/>
    <s v="332.22"/>
    <s v="63.28"/>
    <n v="63.28"/>
    <s v="268.94000000000005"/>
    <n v="1"/>
    <n v="1"/>
    <n v="16"/>
  </r>
  <r>
    <s v="Row15_Row436_Row0_Row239_Row9_Row2_Row0_Row1"/>
    <n v="16"/>
    <s v="RES000016"/>
    <s v="Row1093"/>
    <x v="3"/>
    <s v="Row959"/>
    <s v="Row23"/>
    <x v="1"/>
    <s v="Row0"/>
    <s v="Row2"/>
    <s v="980.84"/>
    <n v="3"/>
    <n v="1"/>
    <n v="0"/>
    <n v="5"/>
    <n v="4"/>
    <n v="0"/>
    <n v="0"/>
    <n v="1"/>
    <n v="1"/>
    <s v="490.42"/>
    <s v="66.67"/>
    <n v="66.67"/>
    <s v="423.75"/>
    <n v="1"/>
    <n v="1"/>
    <n v="17"/>
  </r>
  <r>
    <s v="Row16_Row67_Row1_Row124_Row98_Row6_Row0_Row4"/>
    <n v="17"/>
    <s v="RES000017"/>
    <s v="Row137"/>
    <x v="0"/>
    <s v="Row274"/>
    <s v="Row319"/>
    <x v="2"/>
    <s v="Row0"/>
    <s v="Row9"/>
    <s v="2030.6100000000001"/>
    <n v="3"/>
    <n v="0"/>
    <n v="0"/>
    <n v="6"/>
    <n v="3"/>
    <n v="0"/>
    <n v="0"/>
    <n v="1"/>
    <n v="1"/>
    <s v="676.87"/>
    <s v="270.07"/>
    <n v="270.07"/>
    <s v="406.8"/>
    <n v="1"/>
    <n v="1"/>
    <n v="18"/>
  </r>
  <r>
    <s v="Row17_Row18_Row3_Row67_Row23_Row5_Row0_Row2"/>
    <n v="18"/>
    <s v="RES000018"/>
    <s v="Row39"/>
    <x v="1"/>
    <s v="Row147"/>
    <s v="Row59"/>
    <x v="3"/>
    <s v="Row0"/>
    <s v="Row3"/>
    <s v="127.13"/>
    <n v="3"/>
    <n v="2"/>
    <n v="0"/>
    <n v="1"/>
    <n v="5"/>
    <n v="0"/>
    <n v="0"/>
    <n v="1"/>
    <n v="1"/>
    <s v="127.13"/>
    <s v="61.02"/>
    <n v="61.02"/>
    <s v="66.10999999999999"/>
    <n v="1"/>
    <n v="1"/>
    <n v="19"/>
  </r>
  <r>
    <s v="Row18_Row35_Row2_Row32_Row30_Row4_Row0_Row0"/>
    <n v="19"/>
    <s v="RES000019"/>
    <s v="Row78"/>
    <x v="2"/>
    <s v="Row78"/>
    <s v="Row78"/>
    <x v="4"/>
    <s v="Row0"/>
    <s v="Row0"/>
    <s v="847.96"/>
    <n v="3"/>
    <n v="0"/>
    <n v="0"/>
    <n v="2"/>
    <n v="3"/>
    <n v="0"/>
    <n v="0"/>
    <n v="1"/>
    <n v="1"/>
    <s v="423.98"/>
    <s v="265.78"/>
    <n v="265.77999999999997"/>
    <s v="158.20000000000005"/>
    <n v="1"/>
    <n v="1"/>
    <n v="20"/>
  </r>
  <r>
    <s v="Row19_Row330_Row0_Row85_Row103_Row3_Row0_Row3"/>
    <n v="20"/>
    <s v="RES000020"/>
    <s v="Row737"/>
    <x v="3"/>
    <s v="Row181"/>
    <s v="Row351"/>
    <x v="5"/>
    <s v="Row0"/>
    <s v="Row4"/>
    <s v="1386.3600000000001"/>
    <n v="1"/>
    <n v="1"/>
    <n v="0"/>
    <n v="3"/>
    <n v="2"/>
    <n v="0"/>
    <n v="0"/>
    <n v="1"/>
    <n v="1"/>
    <s v="462.12"/>
    <s v="220.58"/>
    <n v="220.58"/>
    <s v="241.54"/>
    <n v="1"/>
    <n v="1"/>
    <n v="21"/>
  </r>
  <r>
    <s v="Row20_Row552_Row1_Row262_Row157_Row1_Row2_Row5"/>
    <n v="21"/>
    <s v="RES000021"/>
    <s v="Row1410"/>
    <x v="0"/>
    <s v="Row1376"/>
    <s v="Row1410"/>
    <x v="6"/>
    <s v="Row1350"/>
    <s v="Row1350"/>
    <s v="0"/>
    <n v="1"/>
    <n v="0"/>
    <n v="0"/>
    <n v="4"/>
    <n v="1"/>
    <n v="1"/>
    <n v="0"/>
    <n v="0"/>
    <n v="0"/>
    <s v="271.2"/>
    <n v="0"/>
    <n v="0"/>
    <s v="271.2"/>
    <n v="1"/>
    <n v="0"/>
    <n v="22"/>
  </r>
  <r>
    <s v="Row21_Row548_Row3_Row295_Row141_Row0_Row2_Row5"/>
    <n v="22"/>
    <s v="RES000022"/>
    <s v="Row1406"/>
    <x v="1"/>
    <s v="Row1442"/>
    <s v="Row1364"/>
    <x v="0"/>
    <s v="Row1350"/>
    <s v="Row1350"/>
    <s v="0"/>
    <n v="1"/>
    <n v="0"/>
    <n v="0"/>
    <n v="5"/>
    <n v="1"/>
    <n v="1"/>
    <n v="0"/>
    <n v="0"/>
    <n v="0"/>
    <s v="367.25"/>
    <n v="0"/>
    <n v="0"/>
    <s v="367.25"/>
    <n v="1"/>
    <n v="0"/>
    <n v="23"/>
  </r>
  <r>
    <s v="Row22_Row561_Row2_Row297_Row152_Row2_Row2_Row5"/>
    <n v="23"/>
    <s v="RES000023"/>
    <s v="Row1422"/>
    <x v="2"/>
    <s v="Row1451"/>
    <s v="Row1389"/>
    <x v="1"/>
    <s v="Row1350"/>
    <s v="Row1350"/>
    <s v="0"/>
    <n v="2"/>
    <n v="0"/>
    <n v="0"/>
    <n v="6"/>
    <n v="2"/>
    <n v="1"/>
    <n v="0"/>
    <n v="0"/>
    <n v="0"/>
    <s v="474.6"/>
    <n v="0"/>
    <n v="0"/>
    <s v="474.6"/>
    <n v="1"/>
    <n v="0"/>
    <n v="24"/>
  </r>
  <r>
    <s v="Row23_Row518_Row0_Row263_Row131_Row6_Row3_Row5"/>
    <n v="24"/>
    <s v="RES000024"/>
    <s v="Row1373"/>
    <x v="3"/>
    <s v="Row1377"/>
    <s v="Row1353"/>
    <x v="2"/>
    <s v="Row1351"/>
    <s v="Row1350"/>
    <s v="0"/>
    <n v="2"/>
    <n v="2"/>
    <n v="1"/>
    <n v="1"/>
    <n v="5"/>
    <n v="0"/>
    <n v="1"/>
    <n v="0"/>
    <n v="0"/>
    <s v="84.75"/>
    <n v="0"/>
    <n v="0"/>
    <s v="84.75"/>
    <n v="1"/>
    <n v="0"/>
    <n v="25"/>
  </r>
  <r>
    <s v="Row24_Row86_Row1_Row235_Row108_Row5_Row1_Row4"/>
    <n v="25"/>
    <s v="RES000025"/>
    <s v="Row167"/>
    <x v="0"/>
    <s v="Row897"/>
    <s v="Row372"/>
    <x v="3"/>
    <s v="Row87"/>
    <s v="Row9"/>
    <s v="134.24"/>
    <n v="2"/>
    <n v="0"/>
    <n v="0"/>
    <n v="2"/>
    <n v="2"/>
    <n v="0"/>
    <n v="0"/>
    <n v="0"/>
    <n v="0"/>
    <s v="335.61"/>
    <s v="206.79"/>
    <n v="206.79"/>
    <s v="128.82000000000002"/>
    <n v="1"/>
    <n v="0"/>
    <n v="26"/>
  </r>
  <r>
    <s v="Row25_Row94_Row3_Row148_Row60_Row4_Row1_Row2"/>
    <n v="26"/>
    <s v="RES000026"/>
    <s v="Row178"/>
    <x v="1"/>
    <s v="Row353"/>
    <s v="Row144"/>
    <x v="4"/>
    <s v="Row87"/>
    <s v="Row3"/>
    <s v="126.11"/>
    <n v="3"/>
    <n v="0"/>
    <n v="0"/>
    <n v="3"/>
    <n v="3"/>
    <n v="0"/>
    <n v="0"/>
    <n v="0"/>
    <n v="0"/>
    <s v="315.27"/>
    <s v="94.92"/>
    <n v="94.92"/>
    <s v="220.34999999999997"/>
    <n v="1"/>
    <n v="0"/>
    <n v="27"/>
  </r>
  <r>
    <s v="Row26_Row76_Row2_Row69_Row64_Row3_Row0_Row2"/>
    <n v="27"/>
    <s v="RES000027"/>
    <s v="Row149"/>
    <x v="2"/>
    <s v="Row149"/>
    <s v="Row149"/>
    <x v="5"/>
    <s v="Row0"/>
    <s v="Row3"/>
    <s v="341.71"/>
    <n v="3"/>
    <n v="0"/>
    <n v="0"/>
    <n v="4"/>
    <n v="3"/>
    <n v="0"/>
    <n v="0"/>
    <n v="1"/>
    <n v="1"/>
    <s v="341.71"/>
    <s v="56.95"/>
    <n v="56.95"/>
    <s v="284.76"/>
    <n v="1"/>
    <n v="1"/>
    <n v="28"/>
  </r>
  <r>
    <s v="Row27_Row470_Row0_Row158_Row32_Row1_Row0_Row0"/>
    <n v="28"/>
    <s v="RES000028"/>
    <s v="Row1249"/>
    <x v="3"/>
    <s v="Row381"/>
    <s v="Row82"/>
    <x v="6"/>
    <s v="Row0"/>
    <s v="Row0"/>
    <s v="980.84"/>
    <n v="3"/>
    <n v="1"/>
    <n v="0"/>
    <n v="5"/>
    <n v="4"/>
    <n v="0"/>
    <n v="0"/>
    <n v="1"/>
    <n v="1"/>
    <s v="490.42"/>
    <s v="66.67"/>
    <n v="66.67"/>
    <s v="423.75"/>
    <n v="1"/>
    <n v="1"/>
    <n v="29"/>
  </r>
  <r>
    <s v="Row28_Row315_Row1_Row94_Row21_Row0_Row0_Row3"/>
    <n v="29"/>
    <s v="RES000029"/>
    <s v="Row702"/>
    <x v="0"/>
    <s v="Row198"/>
    <s v="Row51"/>
    <x v="0"/>
    <s v="Row0"/>
    <s v="Row4"/>
    <s v="2030.6100000000001"/>
    <n v="3"/>
    <n v="0"/>
    <n v="0"/>
    <n v="6"/>
    <n v="3"/>
    <n v="0"/>
    <n v="0"/>
    <n v="1"/>
    <n v="1"/>
    <s v="676.87"/>
    <s v="270.07"/>
    <n v="270.07"/>
    <s v="406.8"/>
    <n v="1"/>
    <n v="1"/>
    <n v="30"/>
  </r>
  <r>
    <s v="Row29_Row120_Row3_Row108_Row5_Row2_Row0_Row1"/>
    <n v="30"/>
    <s v="RES000030"/>
    <s v="Row231"/>
    <x v="1"/>
    <s v="Row231"/>
    <s v="Row9"/>
    <x v="1"/>
    <s v="Row0"/>
    <s v="Row2"/>
    <s v="123.45"/>
    <n v="1"/>
    <n v="2"/>
    <n v="0"/>
    <n v="1"/>
    <n v="3"/>
    <n v="0"/>
    <n v="0"/>
    <n v="1"/>
    <n v="1"/>
    <s v="123.45"/>
    <s v="61.02"/>
    <n v="61.02"/>
    <s v="62.43"/>
    <n v="1"/>
    <n v="1"/>
    <n v="31"/>
  </r>
  <r>
    <s v="Row30_Row211_Row2_Row172_Row100_Row6_Row0_Row4"/>
    <n v="31"/>
    <s v="RES000031"/>
    <s v="Row427"/>
    <x v="2"/>
    <s v="Row427"/>
    <s v="Row332"/>
    <x v="2"/>
    <s v="Row0"/>
    <s v="Row9"/>
    <s v="865.58"/>
    <n v="1"/>
    <n v="0"/>
    <n v="0"/>
    <n v="2"/>
    <n v="1"/>
    <n v="0"/>
    <n v="0"/>
    <n v="1"/>
    <n v="1"/>
    <s v="432.79"/>
    <s v="274.59"/>
    <n v="274.58999999999997"/>
    <s v="158.20000000000005"/>
    <n v="1"/>
    <n v="1"/>
    <n v="32"/>
  </r>
  <r>
    <s v="Row31_Row0_Row0_Row24_Row122_Row5_Row0_Row2"/>
    <n v="32"/>
    <s v="RES000032"/>
    <s v="Row0"/>
    <x v="3"/>
    <s v="Row56"/>
    <s v="Row555"/>
    <x v="3"/>
    <s v="Row0"/>
    <s v="Row3"/>
    <s v="1431.6"/>
    <n v="1"/>
    <n v="1"/>
    <n v="0"/>
    <n v="3"/>
    <n v="2"/>
    <n v="0"/>
    <n v="0"/>
    <n v="1"/>
    <n v="1"/>
    <s v="477.2"/>
    <s v="222.95000000000002"/>
    <n v="222.95"/>
    <s v="254.24999999999997"/>
    <n v="1"/>
    <n v="1"/>
    <n v="33"/>
  </r>
  <r>
    <s v="Row32_Row402_Row1_Row199_Row123_Row4_Row0_Row0"/>
    <n v="33"/>
    <s v="RES000033"/>
    <s v="Row972"/>
    <x v="0"/>
    <s v="Row568"/>
    <s v="Row559"/>
    <x v="4"/>
    <s v="Row0"/>
    <s v="Row0"/>
    <s v="348.04"/>
    <n v="2"/>
    <n v="0"/>
    <n v="0"/>
    <n v="4"/>
    <n v="2"/>
    <n v="0"/>
    <n v="0"/>
    <n v="1"/>
    <n v="1"/>
    <s v="348.04"/>
    <s v="76.84"/>
    <n v="76.84"/>
    <s v="271.20000000000005"/>
    <n v="1"/>
    <n v="1"/>
    <n v="34"/>
  </r>
  <r>
    <s v="Row33_Row127_Row3_Row114_Row89_Row3_Row0_Row3"/>
    <n v="34"/>
    <s v="RES000034"/>
    <s v="Row247"/>
    <x v="1"/>
    <s v="Row247"/>
    <s v="Row247"/>
    <x v="5"/>
    <s v="Row0"/>
    <s v="Row4"/>
    <s v="882.08"/>
    <n v="2"/>
    <n v="0"/>
    <n v="0"/>
    <n v="5"/>
    <n v="2"/>
    <n v="0"/>
    <n v="0"/>
    <n v="1"/>
    <n v="1"/>
    <s v="441.04"/>
    <s v="73.78999999999999"/>
    <n v="73.789999999999907"/>
    <s v="367.25"/>
    <n v="1"/>
    <n v="1"/>
    <n v="35"/>
  </r>
  <r>
    <s v="Row34_Row48_Row2_Row44_Row43_Row1_Row0_Row1"/>
    <n v="35"/>
    <s v="RES000035"/>
    <s v="Row98"/>
    <x v="2"/>
    <s v="Row98"/>
    <s v="Row98"/>
    <x v="6"/>
    <s v="Row0"/>
    <s v="Row2"/>
    <s v="2162.82"/>
    <n v="2"/>
    <n v="0"/>
    <n v="0"/>
    <n v="6"/>
    <n v="2"/>
    <n v="0"/>
    <n v="0"/>
    <n v="1"/>
    <n v="1"/>
    <s v="720.94"/>
    <s v="270.07"/>
    <n v="270.07"/>
    <s v="450.87000000000006"/>
    <n v="1"/>
    <n v="1"/>
    <n v="36"/>
  </r>
  <r>
    <s v="Row35_Row268_Row0_Row201_Row79_Row0_Row0_Row4"/>
    <n v="36"/>
    <s v="RES000036"/>
    <s v="Row575"/>
    <x v="3"/>
    <s v="Row575"/>
    <s v="Row202"/>
    <x v="0"/>
    <s v="Row0"/>
    <s v="Row9"/>
    <s v="123.74"/>
    <n v="3"/>
    <n v="2"/>
    <n v="1"/>
    <n v="1"/>
    <n v="6"/>
    <n v="0"/>
    <n v="0"/>
    <n v="1"/>
    <n v="1"/>
    <s v="123.74"/>
    <s v="47.46"/>
    <n v="47.46"/>
    <s v="76.28"/>
    <n v="1"/>
    <n v="1"/>
    <n v="37"/>
  </r>
  <r>
    <s v="Row36_Row159_Row1_Row60_Row33_Row2_Row0_Row2"/>
    <n v="37"/>
    <s v="RES000037"/>
    <s v="Row319"/>
    <x v="0"/>
    <s v="Row137"/>
    <s v="Row84"/>
    <x v="1"/>
    <s v="Row0"/>
    <s v="Row3"/>
    <s v="874.62"/>
    <n v="3"/>
    <n v="0"/>
    <n v="0"/>
    <n v="2"/>
    <n v="3"/>
    <n v="0"/>
    <n v="0"/>
    <n v="1"/>
    <n v="1"/>
    <s v="437.31"/>
    <s v="301.71"/>
    <n v="301.70999999999998"/>
    <s v="135.60000000000002"/>
    <n v="1"/>
    <n v="1"/>
    <n v="38"/>
  </r>
  <r>
    <s v="Row37_Row27_Row3_Row17_Row107_Row6_Row0_Row0"/>
    <n v="38"/>
    <s v="RES000038"/>
    <s v="Row59"/>
    <x v="1"/>
    <s v="Row39"/>
    <s v="Row363"/>
    <x v="2"/>
    <s v="Row0"/>
    <s v="Row0"/>
    <s v="1267.8600000000001"/>
    <n v="3"/>
    <n v="0"/>
    <n v="0"/>
    <n v="3"/>
    <n v="3"/>
    <n v="0"/>
    <n v="0"/>
    <n v="1"/>
    <n v="1"/>
    <s v="422.62"/>
    <s v="202.26999999999998"/>
    <n v="202.26999999999899"/>
    <s v="220.35000000000002"/>
    <n v="1"/>
    <n v="1"/>
    <n v="39"/>
  </r>
  <r>
    <s v="Row38_Row132_Row2_Row110_Row3_Row5_Row0_Row3"/>
    <n v="39"/>
    <s v="RES000039"/>
    <s v="Row256"/>
    <x v="2"/>
    <s v="Row237"/>
    <s v="Row4"/>
    <x v="3"/>
    <s v="Row0"/>
    <s v="Row4"/>
    <s v="379.68"/>
    <n v="3"/>
    <n v="0"/>
    <n v="0"/>
    <n v="4"/>
    <n v="3"/>
    <n v="0"/>
    <n v="0"/>
    <n v="1"/>
    <n v="1"/>
    <s v="379.68"/>
    <s v="63.28"/>
    <n v="63.28"/>
    <s v="316.4"/>
    <n v="1"/>
    <n v="1"/>
    <n v="40"/>
  </r>
  <r>
    <s v="Row39_Row306_Row0_Row218_Row87_Row4_Row0_Row1"/>
    <n v="40"/>
    <s v="RES000040"/>
    <s v="Row674"/>
    <x v="3"/>
    <s v="Row674"/>
    <s v="Row230"/>
    <x v="4"/>
    <s v="Row0"/>
    <s v="Row2"/>
    <s v="933.94"/>
    <n v="1"/>
    <n v="1"/>
    <n v="0"/>
    <n v="5"/>
    <n v="2"/>
    <n v="0"/>
    <n v="0"/>
    <n v="1"/>
    <n v="1"/>
    <s v="466.97"/>
    <s v="64.41"/>
    <n v="64.41"/>
    <s v="402.56000000000006"/>
    <n v="1"/>
    <n v="1"/>
    <n v="41"/>
  </r>
  <r>
    <s v="Row40_Row558_Row1_Row299_Row128_Row3_Row2_Row5"/>
    <n v="41"/>
    <s v="RES000041"/>
    <s v="Row1417"/>
    <x v="0"/>
    <s v="Row1453"/>
    <s v="Row1350"/>
    <x v="5"/>
    <s v="Row1350"/>
    <s v="Row1350"/>
    <s v="0"/>
    <n v="1"/>
    <n v="0"/>
    <n v="0"/>
    <n v="6"/>
    <n v="1"/>
    <n v="1"/>
    <n v="0"/>
    <n v="0"/>
    <n v="0"/>
    <s v="616.98"/>
    <n v="0"/>
    <n v="0"/>
    <s v="616.98"/>
    <n v="1"/>
    <n v="0"/>
    <n v="42"/>
  </r>
  <r>
    <s v="Row41_Row510_Row3_Row280_Row158_Row1_Row2_Row5"/>
    <n v="42"/>
    <s v="RES000042"/>
    <s v="Row1364"/>
    <x v="1"/>
    <s v="Row1406"/>
    <s v="Row1436"/>
    <x v="6"/>
    <s v="Row1350"/>
    <s v="Row1350"/>
    <s v="0"/>
    <n v="1"/>
    <n v="2"/>
    <n v="0"/>
    <n v="1"/>
    <n v="3"/>
    <n v="1"/>
    <n v="0"/>
    <n v="0"/>
    <n v="0"/>
    <s v="109.61"/>
    <n v="0"/>
    <n v="0"/>
    <s v="109.61"/>
    <n v="1"/>
    <n v="0"/>
    <n v="43"/>
  </r>
  <r>
    <s v="Row42_Row602_Row2_Row270_Row140_Row0_Row2_Row5"/>
    <n v="43"/>
    <s v="RES000043"/>
    <s v="Row1486"/>
    <x v="2"/>
    <s v="Row1389"/>
    <s v="Row1362"/>
    <x v="0"/>
    <s v="Row1350"/>
    <s v="Row1350"/>
    <s v="0"/>
    <n v="2"/>
    <n v="0"/>
    <n v="0"/>
    <n v="2"/>
    <n v="2"/>
    <n v="1"/>
    <n v="0"/>
    <n v="0"/>
    <n v="0"/>
    <s v="232.78"/>
    <n v="0"/>
    <n v="0"/>
    <s v="232.78"/>
    <n v="1"/>
    <n v="0"/>
    <n v="44"/>
  </r>
  <r>
    <s v="Row43_Row499_Row0_Row260_Row146_Row2_Row3_Row5"/>
    <n v="44"/>
    <s v="RES000044"/>
    <s v="Row1353"/>
    <x v="3"/>
    <s v="Row1373"/>
    <s v="Row1372"/>
    <x v="1"/>
    <s v="Row1351"/>
    <s v="Row1350"/>
    <s v="0"/>
    <n v="2"/>
    <n v="1"/>
    <n v="0"/>
    <n v="3"/>
    <n v="3"/>
    <n v="0"/>
    <n v="1"/>
    <n v="0"/>
    <n v="0"/>
    <s v="369.51"/>
    <n v="0"/>
    <n v="0"/>
    <s v="369.51"/>
    <n v="1"/>
    <n v="0"/>
    <n v="45"/>
  </r>
  <r>
    <s v="Row44_Row267_Row1_Row77_Row111_Row6_Row1_Row2"/>
    <n v="45"/>
    <s v="RES000045"/>
    <s v="Row570"/>
    <x v="0"/>
    <s v="Row167"/>
    <s v="Row384"/>
    <x v="2"/>
    <s v="Row87"/>
    <s v="Row3"/>
    <s v="170.58"/>
    <n v="2"/>
    <n v="0"/>
    <n v="0"/>
    <n v="4"/>
    <n v="2"/>
    <n v="0"/>
    <n v="0"/>
    <n v="0"/>
    <n v="0"/>
    <s v="426.46"/>
    <s v="76.84"/>
    <n v="76.84"/>
    <s v="349.62"/>
    <n v="1"/>
    <n v="0"/>
    <n v="46"/>
  </r>
  <r>
    <s v="Row45_Row392_Row3_Row83_Row38_Row5_Row1_Row0"/>
    <n v="46"/>
    <s v="RES000046"/>
    <s v="Row928"/>
    <x v="1"/>
    <s v="Row178"/>
    <s v="Row91"/>
    <x v="3"/>
    <s v="Row87"/>
    <s v="Row0"/>
    <s v="244.98"/>
    <n v="3"/>
    <n v="0"/>
    <n v="0"/>
    <n v="5"/>
    <n v="3"/>
    <n v="0"/>
    <n v="0"/>
    <n v="0"/>
    <n v="0"/>
    <s v="612.46"/>
    <s v="64.41"/>
    <n v="64.41"/>
    <s v="548.0500000000001"/>
    <n v="1"/>
    <n v="0"/>
    <n v="47"/>
  </r>
  <r>
    <s v="Row46_Row81_Row2_Row129_Row82_Row4_Row0_Row0"/>
    <n v="47"/>
    <s v="RES000047"/>
    <s v="Row157"/>
    <x v="2"/>
    <s v="Row301"/>
    <s v="Row210"/>
    <x v="4"/>
    <s v="Row0"/>
    <s v="Row0"/>
    <s v="2890.98"/>
    <n v="3"/>
    <n v="0"/>
    <n v="0"/>
    <n v="6"/>
    <n v="3"/>
    <n v="0"/>
    <n v="0"/>
    <n v="1"/>
    <n v="1"/>
    <s v="963.66"/>
    <s v="265.32"/>
    <n v="265.32"/>
    <s v="698.3399999999999"/>
    <n v="1"/>
    <n v="1"/>
    <n v="48"/>
  </r>
  <r>
    <s v="Row47_Row82_Row0_Row161_Row63_Row3_Row0_Row3"/>
    <n v="48"/>
    <s v="RES000048"/>
    <s v="Row159"/>
    <x v="3"/>
    <s v="Row392"/>
    <s v="Row148"/>
    <x v="5"/>
    <s v="Row0"/>
    <s v="Row4"/>
    <s v="165.88"/>
    <n v="3"/>
    <n v="2"/>
    <n v="1"/>
    <n v="1"/>
    <n v="6"/>
    <n v="0"/>
    <n v="0"/>
    <n v="1"/>
    <n v="1"/>
    <s v="165.88"/>
    <s v="42.71"/>
    <n v="42.71"/>
    <s v="123.16999999999999"/>
    <n v="1"/>
    <n v="1"/>
    <n v="49"/>
  </r>
  <r>
    <s v="Row48_Row286_Row1_Row212_Row16_Row1_Row0_Row1"/>
    <n v="49"/>
    <s v="RES000049"/>
    <s v="Row631"/>
    <x v="0"/>
    <s v="Row631"/>
    <s v="Row37"/>
    <x v="6"/>
    <s v="Row0"/>
    <s v="Row2"/>
    <s v="1014.74"/>
    <n v="3"/>
    <n v="0"/>
    <n v="0"/>
    <n v="2"/>
    <n v="3"/>
    <n v="0"/>
    <n v="0"/>
    <n v="1"/>
    <n v="1"/>
    <s v="507.37"/>
    <s v="301.71"/>
    <n v="301.70999999999998"/>
    <s v="205.66000000000003"/>
    <n v="1"/>
    <n v="1"/>
    <n v="50"/>
  </r>
  <r>
    <s v="Row49_Row54_Row3_Row5_Row48_Row0_Row0_Row4"/>
    <n v="50"/>
    <s v="RES000050"/>
    <s v="Row111"/>
    <x v="1"/>
    <s v="Row9"/>
    <s v="Row111"/>
    <x v="0"/>
    <s v="Row0"/>
    <s v="Row9"/>
    <s v="1543.98"/>
    <n v="1"/>
    <n v="0"/>
    <n v="0"/>
    <n v="3"/>
    <n v="1"/>
    <n v="0"/>
    <n v="0"/>
    <n v="1"/>
    <n v="1"/>
    <s v="514.66"/>
    <s v="202.26999999999998"/>
    <n v="202.26999999999899"/>
    <s v="312.39"/>
    <n v="1"/>
    <n v="1"/>
    <n v="51"/>
  </r>
  <r>
    <s v="Row50_Row2_Row2_Row2_Row2_Row2_Row0_Row2"/>
    <n v="51"/>
    <s v="RES000051"/>
    <s v="Row3"/>
    <x v="2"/>
    <s v="Row3"/>
    <s v="Row3"/>
    <x v="1"/>
    <s v="Row0"/>
    <s v="Row3"/>
    <s v="528.84"/>
    <n v="1"/>
    <n v="0"/>
    <n v="0"/>
    <n v="4"/>
    <n v="1"/>
    <n v="0"/>
    <n v="0"/>
    <n v="1"/>
    <n v="1"/>
    <s v="528.84"/>
    <s v="63.28"/>
    <n v="63.28"/>
    <s v="465.56000000000006"/>
    <n v="1"/>
    <n v="1"/>
    <n v="52"/>
  </r>
  <r>
    <s v="Row51_Row347_Row0_Row0_Row84_Row6_Row0_Row0"/>
    <n v="52"/>
    <s v="RES000052"/>
    <s v="Row805"/>
    <x v="3"/>
    <s v="Row0"/>
    <s v="Row218"/>
    <x v="2"/>
    <s v="Row0"/>
    <s v="Row0"/>
    <s v="1365.04"/>
    <n v="1"/>
    <n v="1"/>
    <n v="0"/>
    <n v="5"/>
    <n v="2"/>
    <n v="0"/>
    <n v="0"/>
    <n v="1"/>
    <n v="1"/>
    <s v="682.52"/>
    <s v="66.67"/>
    <n v="66.67"/>
    <s v="615.85"/>
    <n v="1"/>
    <n v="1"/>
    <n v="53"/>
  </r>
  <r>
    <s v="Row52_Row380_Row1_Row197_Row72_Row5_Row0_Row3"/>
    <n v="53"/>
    <s v="RES000053"/>
    <s v="Row900"/>
    <x v="0"/>
    <s v="Row559"/>
    <s v="Row172"/>
    <x v="3"/>
    <s v="Row0"/>
    <s v="Row4"/>
    <s v="2605.23"/>
    <n v="2"/>
    <n v="0"/>
    <n v="0"/>
    <n v="6"/>
    <n v="2"/>
    <n v="0"/>
    <n v="0"/>
    <n v="1"/>
    <n v="1"/>
    <s v="868.41"/>
    <s v="251.43"/>
    <n v="251.43"/>
    <s v="616.98"/>
    <n v="1"/>
    <n v="1"/>
    <n v="54"/>
  </r>
  <r>
    <s v="Row53_Row45_Row3_Row41_Row40_Row4_Row0_Row1"/>
    <n v="54"/>
    <s v="RES000054"/>
    <s v="Row94"/>
    <x v="1"/>
    <s v="Row94"/>
    <s v="Row94"/>
    <x v="4"/>
    <s v="Row0"/>
    <s v="Row2"/>
    <s v="159.67"/>
    <n v="2"/>
    <n v="2"/>
    <n v="0"/>
    <n v="1"/>
    <n v="4"/>
    <n v="0"/>
    <n v="0"/>
    <n v="1"/>
    <n v="1"/>
    <s v="159.67"/>
    <s v="61.02"/>
    <n v="61.02"/>
    <s v="98.64999999999998"/>
    <n v="1"/>
    <n v="1"/>
    <n v="55"/>
  </r>
  <r>
    <s v="Row54_Row162_Row2_Row59_Row27_Row3_Row0_Row4"/>
    <n v="55"/>
    <s v="RES000055"/>
    <s v="Row326"/>
    <x v="2"/>
    <s v="Row135"/>
    <s v="Row68"/>
    <x v="5"/>
    <s v="Row0"/>
    <s v="Row9"/>
    <s v="954.18"/>
    <n v="2"/>
    <n v="0"/>
    <n v="0"/>
    <n v="2"/>
    <n v="2"/>
    <n v="0"/>
    <n v="0"/>
    <n v="1"/>
    <n v="1"/>
    <s v="477.09"/>
    <s v="255.95"/>
    <n v="255.95"/>
    <s v="221.14"/>
    <n v="1"/>
    <n v="1"/>
    <n v="56"/>
  </r>
  <r>
    <s v="Row55_Row106_Row0_Row223_Row99_Row1_Row0_Row2"/>
    <n v="56"/>
    <s v="RES000056"/>
    <s v="Row202"/>
    <x v="3"/>
    <s v="Row730"/>
    <s v="Row327"/>
    <x v="6"/>
    <s v="Row0"/>
    <s v="Row3"/>
    <s v="1796.6999999999998"/>
    <n v="3"/>
    <n v="1"/>
    <n v="0"/>
    <n v="3"/>
    <n v="4"/>
    <n v="0"/>
    <n v="0"/>
    <n v="1"/>
    <n v="1"/>
    <s v="598.9"/>
    <s v="229.39000000000001"/>
    <n v="229.39"/>
    <s v="369.51"/>
    <n v="1"/>
    <n v="1"/>
    <n v="57"/>
  </r>
  <r>
    <s v="Row56_Row34_Row1_Row31_Row29_Row0_Row0_Row0"/>
    <n v="57"/>
    <s v="RES000057"/>
    <s v="Row77"/>
    <x v="0"/>
    <s v="Row77"/>
    <s v="Row77"/>
    <x v="0"/>
    <s v="Row0"/>
    <s v="Row0"/>
    <s v="488.16"/>
    <n v="3"/>
    <n v="0"/>
    <n v="0"/>
    <n v="4"/>
    <n v="3"/>
    <n v="0"/>
    <n v="0"/>
    <n v="1"/>
    <n v="1"/>
    <s v="488.16"/>
    <s v="76.84"/>
    <n v="76.84"/>
    <s v="411.32000000000005"/>
    <n v="1"/>
    <n v="1"/>
    <n v="58"/>
  </r>
  <r>
    <s v="Row57_Row79_Row3_Row25_Row66_Row2_Row0_Row3"/>
    <n v="58"/>
    <s v="RES000058"/>
    <s v="Row154"/>
    <x v="1"/>
    <s v="Row59"/>
    <s v="Row154"/>
    <x v="1"/>
    <s v="Row0"/>
    <s v="Row4"/>
    <s v="1256.56"/>
    <n v="3"/>
    <n v="0"/>
    <n v="0"/>
    <n v="5"/>
    <n v="3"/>
    <n v="0"/>
    <n v="0"/>
    <n v="1"/>
    <n v="1"/>
    <s v="628.28"/>
    <s v="80.22999999999999"/>
    <n v="80.229999999999905"/>
    <s v="548.05"/>
    <n v="1"/>
    <n v="1"/>
    <n v="59"/>
  </r>
  <r>
    <s v="Row58_Row100_Row2_Row89_Row6_Row6_Row0_Row1"/>
    <n v="59"/>
    <s v="RES000059"/>
    <s v="Row189"/>
    <x v="2"/>
    <s v="Row189"/>
    <s v="Row12"/>
    <x v="2"/>
    <s v="Row0"/>
    <s v="Row2"/>
    <s v="2905.23"/>
    <n v="3"/>
    <n v="0"/>
    <n v="0"/>
    <n v="6"/>
    <n v="3"/>
    <n v="0"/>
    <n v="0"/>
    <n v="1"/>
    <n v="1"/>
    <s v="968.41"/>
    <s v="270.07"/>
    <n v="270.07"/>
    <s v="698.3399999999999"/>
    <n v="1"/>
    <n v="1"/>
    <n v="60"/>
  </r>
  <r>
    <s v="Row59_Row235_Row0_Row127_Row44_Row5_Row0_Row4"/>
    <n v="60"/>
    <s v="RES000060"/>
    <s v="Row496"/>
    <x v="3"/>
    <s v="Row284"/>
    <s v="Row101"/>
    <x v="3"/>
    <s v="Row0"/>
    <s v="Row9"/>
    <s v="152.15"/>
    <n v="1"/>
    <n v="2"/>
    <n v="1"/>
    <n v="1"/>
    <n v="4"/>
    <n v="0"/>
    <n v="0"/>
    <n v="1"/>
    <n v="1"/>
    <s v="152.15"/>
    <s v="47.46"/>
    <n v="47.46"/>
    <s v="104.69"/>
    <n v="1"/>
    <n v="1"/>
    <n v="61"/>
  </r>
  <r>
    <s v="Row60_Row496_Row1_Row276_Row139_Row4_Row2_Row5"/>
    <n v="61"/>
    <s v="RES000061"/>
    <s v="Row1350"/>
    <x v="0"/>
    <s v="Row1399"/>
    <s v="Row1361"/>
    <x v="4"/>
    <s v="Row1350"/>
    <s v="Row1350"/>
    <s v="0"/>
    <n v="1"/>
    <n v="0"/>
    <n v="0"/>
    <n v="2"/>
    <n v="1"/>
    <n v="1"/>
    <n v="0"/>
    <n v="0"/>
    <n v="0"/>
    <s v="205.66"/>
    <n v="0"/>
    <n v="0"/>
    <s v="205.66"/>
    <n v="1"/>
    <n v="0"/>
    <n v="62"/>
  </r>
  <r>
    <s v="Row61_Row580_Row3_Row253_Row138_Row3_Row2_Row5"/>
    <n v="62"/>
    <s v="RES000062"/>
    <s v="Row1449"/>
    <x v="1"/>
    <s v="Row1364"/>
    <s v="Row1360"/>
    <x v="5"/>
    <s v="Row1350"/>
    <s v="Row1350"/>
    <s v="0"/>
    <n v="1"/>
    <n v="0"/>
    <n v="0"/>
    <n v="3"/>
    <n v="1"/>
    <n v="1"/>
    <n v="0"/>
    <n v="0"/>
    <n v="0"/>
    <s v="328.83"/>
    <n v="0"/>
    <n v="0"/>
    <s v="328.83"/>
    <n v="1"/>
    <n v="0"/>
    <n v="63"/>
  </r>
  <r>
    <s v="Row62_Row574_Row2_Row298_Row156_Row1_Row2_Row5"/>
    <n v="63"/>
    <s v="RES000063"/>
    <s v="Row1440"/>
    <x v="2"/>
    <s v="Row1452"/>
    <s v="Row1408"/>
    <x v="6"/>
    <s v="Row1350"/>
    <s v="Row1350"/>
    <s v="0"/>
    <n v="2"/>
    <n v="0"/>
    <n v="0"/>
    <n v="4"/>
    <n v="2"/>
    <n v="1"/>
    <n v="0"/>
    <n v="0"/>
    <n v="0"/>
    <n v="419"/>
    <n v="0"/>
    <n v="0"/>
    <n v="419"/>
    <n v="1"/>
    <n v="0"/>
    <n v="64"/>
  </r>
  <r>
    <s v="Row63_Row523_Row0_Row243_Row134_Row0_Row3_Row5"/>
    <n v="64"/>
    <s v="RES000064"/>
    <s v="Row1378"/>
    <x v="3"/>
    <s v="Row1353"/>
    <s v="Row1356"/>
    <x v="0"/>
    <s v="Row1351"/>
    <s v="Row1350"/>
    <s v="0"/>
    <n v="2"/>
    <n v="1"/>
    <n v="0"/>
    <n v="5"/>
    <n v="3"/>
    <n v="0"/>
    <n v="1"/>
    <n v="0"/>
    <n v="0"/>
    <s v="615.85"/>
    <n v="0"/>
    <n v="0"/>
    <s v="615.85"/>
    <n v="1"/>
    <n v="0"/>
    <n v="65"/>
  </r>
  <r>
    <s v="Row64_Row239_Row1_Row176_Row62_Row2_Row1_Row0"/>
    <n v="65"/>
    <s v="RES000065"/>
    <s v="Row504"/>
    <x v="0"/>
    <s v="Row440"/>
    <s v="Row146"/>
    <x v="1"/>
    <s v="Row87"/>
    <s v="Row0"/>
    <s v="243.49"/>
    <n v="2"/>
    <n v="0"/>
    <n v="0"/>
    <n v="6"/>
    <n v="2"/>
    <n v="0"/>
    <n v="0"/>
    <n v="0"/>
    <n v="0"/>
    <s v="608.73"/>
    <s v="22.6"/>
    <n v="22.6"/>
    <s v="586.13"/>
    <n v="1"/>
    <n v="0"/>
    <n v="66"/>
  </r>
  <r>
    <s v="Row65_Row202_Row3_Row39_Row112_Row6_Row1_Row3"/>
    <n v="66"/>
    <s v="RES000066"/>
    <s v="Row409"/>
    <x v="1"/>
    <s v="Row91"/>
    <s v="Row390"/>
    <x v="2"/>
    <s v="Row87"/>
    <s v="Row4"/>
    <s v="68.25"/>
    <n v="3"/>
    <n v="2"/>
    <n v="0"/>
    <n v="1"/>
    <n v="5"/>
    <n v="0"/>
    <n v="0"/>
    <n v="0"/>
    <n v="0"/>
    <s v="170.63"/>
    <s v="61.02"/>
    <n v="61.02"/>
    <s v="109.60999999999999"/>
    <n v="1"/>
    <n v="0"/>
    <n v="67"/>
  </r>
  <r>
    <s v="Row66_Row367_Row2_Row72_Row91_Row5_Row0_Row3"/>
    <n v="67"/>
    <s v="RES000067"/>
    <s v="Row868"/>
    <x v="2"/>
    <s v="Row157"/>
    <s v="Row255"/>
    <x v="3"/>
    <s v="Row0"/>
    <s v="Row4"/>
    <s v="1014.74"/>
    <n v="3"/>
    <n v="0"/>
    <n v="0"/>
    <n v="2"/>
    <n v="3"/>
    <n v="0"/>
    <n v="0"/>
    <n v="1"/>
    <n v="1"/>
    <s v="507.37"/>
    <s v="274.59"/>
    <n v="274.58999999999997"/>
    <s v="232.78000000000003"/>
    <n v="1"/>
    <n v="1"/>
    <n v="68"/>
  </r>
  <r>
    <s v="Row67_Row452_Row0_Row73_Row67_Row4_Row0_Row1"/>
    <n v="68"/>
    <s v="RES000068"/>
    <s v="Row1168"/>
    <x v="3"/>
    <s v="Row159"/>
    <s v="Row156"/>
    <x v="4"/>
    <s v="Row0"/>
    <s v="Row2"/>
    <s v="1773.66"/>
    <n v="3"/>
    <n v="1"/>
    <n v="0"/>
    <n v="3"/>
    <n v="4"/>
    <n v="0"/>
    <n v="0"/>
    <n v="1"/>
    <n v="1"/>
    <s v="591.22"/>
    <s v="221.71"/>
    <n v="221.71"/>
    <s v="369.51"/>
    <n v="1"/>
    <n v="1"/>
    <n v="69"/>
  </r>
  <r>
    <s v="Row68_Row355_Row1_Row177_Row117_Row3_Row0_Row4"/>
    <n v="69"/>
    <s v="RES000069"/>
    <s v="Row821"/>
    <x v="0"/>
    <s v="Row443"/>
    <s v="Row492"/>
    <x v="5"/>
    <s v="Row0"/>
    <s v="Row9"/>
    <s v="480.48"/>
    <n v="3"/>
    <n v="0"/>
    <n v="0"/>
    <n v="4"/>
    <n v="3"/>
    <n v="0"/>
    <n v="0"/>
    <n v="1"/>
    <n v="1"/>
    <s v="480.48"/>
    <s v="69.16"/>
    <n v="69.16"/>
    <s v="411.32000000000005"/>
    <n v="1"/>
    <n v="1"/>
    <n v="70"/>
  </r>
  <r>
    <s v="Row69_Row4_Row3_Row4_Row4_Row1_Row0_Row2"/>
    <n v="70"/>
    <s v="RES000070"/>
    <s v="Row7"/>
    <x v="1"/>
    <s v="Row7"/>
    <s v="Row7"/>
    <x v="6"/>
    <s v="Row0"/>
    <s v="Row3"/>
    <s v="1201.76"/>
    <n v="1"/>
    <n v="0"/>
    <n v="0"/>
    <n v="5"/>
    <n v="1"/>
    <n v="0"/>
    <n v="0"/>
    <n v="1"/>
    <n v="1"/>
    <s v="600.88"/>
    <s v="80.22999999999999"/>
    <n v="80.229999999999905"/>
    <s v="520.65"/>
    <n v="1"/>
    <n v="1"/>
    <n v="71"/>
  </r>
  <r>
    <s v="Row70_Row431_Row2_Row213_Row49_Row0_Row0_Row0"/>
    <n v="71"/>
    <s v="RES000071"/>
    <s v="Row1072"/>
    <x v="2"/>
    <s v="Row633"/>
    <s v="Row116"/>
    <x v="0"/>
    <s v="Row0"/>
    <s v="Row0"/>
    <s v="2905.23"/>
    <n v="1"/>
    <n v="0"/>
    <n v="0"/>
    <n v="6"/>
    <n v="1"/>
    <n v="0"/>
    <n v="0"/>
    <n v="1"/>
    <n v="1"/>
    <s v="968.41"/>
    <s v="270.07"/>
    <n v="270.07"/>
    <s v="698.3399999999999"/>
    <n v="1"/>
    <n v="1"/>
    <n v="72"/>
  </r>
  <r>
    <s v="Row71_Row254_Row0_Row192_Row120_Row2_Row0_Row3"/>
    <n v="72"/>
    <s v="RES000072"/>
    <s v="Row539"/>
    <x v="3"/>
    <s v="Row539"/>
    <s v="Row539"/>
    <x v="1"/>
    <s v="Row0"/>
    <s v="Row4"/>
    <s v="158.31"/>
    <n v="1"/>
    <n v="2"/>
    <n v="1"/>
    <n v="1"/>
    <n v="4"/>
    <n v="0"/>
    <n v="0"/>
    <n v="1"/>
    <n v="1"/>
    <s v="158.31"/>
    <s v="47.46"/>
    <n v="47.46"/>
    <s v="110.85"/>
    <n v="1"/>
    <n v="1"/>
    <n v="73"/>
  </r>
  <r>
    <s v="Row72_Row240_Row1_Row170_Row92_Row6_Row0_Row1"/>
    <n v="73"/>
    <s v="RES000073"/>
    <s v="Row505"/>
    <x v="0"/>
    <s v="Row424"/>
    <s v="Row259"/>
    <x v="2"/>
    <s v="Row0"/>
    <s v="Row2"/>
    <s v="1014.74"/>
    <n v="2"/>
    <n v="0"/>
    <n v="0"/>
    <n v="2"/>
    <n v="2"/>
    <n v="0"/>
    <n v="0"/>
    <n v="1"/>
    <n v="1"/>
    <s v="507.37"/>
    <s v="301.71"/>
    <n v="301.70999999999998"/>
    <s v="205.66000000000003"/>
    <n v="1"/>
    <n v="1"/>
    <n v="74"/>
  </r>
  <r>
    <s v="Row73_Row125_Row3_Row112_Row8_Row5_Row0_Row4"/>
    <n v="74"/>
    <s v="RES000074"/>
    <s v="Row241"/>
    <x v="1"/>
    <s v="Row241"/>
    <s v="Row18"/>
    <x v="3"/>
    <s v="Row0"/>
    <s v="Row9"/>
    <s v="1580.0700000000002"/>
    <n v="2"/>
    <n v="0"/>
    <n v="0"/>
    <n v="3"/>
    <n v="2"/>
    <n v="0"/>
    <n v="0"/>
    <n v="1"/>
    <n v="1"/>
    <s v="526.69"/>
    <s v="197.85999999999999"/>
    <n v="197.85999999999899"/>
    <s v="328.83000000000004"/>
    <n v="1"/>
    <n v="1"/>
    <n v="75"/>
  </r>
  <r>
    <s v="Row74_Row31_Row2_Row52_Row51_Row4_Row0_Row2"/>
    <n v="75"/>
    <s v="RES000075"/>
    <s v="Row68"/>
    <x v="2"/>
    <s v="Row121"/>
    <s v="Row121"/>
    <x v="4"/>
    <s v="Row0"/>
    <s v="Row3"/>
    <s v="459.01"/>
    <n v="2"/>
    <n v="0"/>
    <n v="0"/>
    <n v="4"/>
    <n v="2"/>
    <n v="0"/>
    <n v="0"/>
    <n v="1"/>
    <n v="1"/>
    <s v="459.01"/>
    <s v="63.28"/>
    <n v="63.28"/>
    <s v="395.73"/>
    <n v="1"/>
    <n v="1"/>
    <n v="76"/>
  </r>
  <r>
    <s v="Row75_Row163_Row0_Row96_Row15_Row3_Row0_Row0"/>
    <n v="76"/>
    <s v="RES000076"/>
    <s v="Row327"/>
    <x v="3"/>
    <s v="Row202"/>
    <s v="Row35"/>
    <x v="5"/>
    <s v="Row0"/>
    <s v="Row0"/>
    <s v="1356.22"/>
    <n v="3"/>
    <n v="1"/>
    <n v="0"/>
    <n v="5"/>
    <n v="4"/>
    <n v="0"/>
    <n v="0"/>
    <n v="1"/>
    <n v="1"/>
    <s v="678.11"/>
    <s v="62.26"/>
    <n v="62.26"/>
    <s v="615.85"/>
    <n v="1"/>
    <n v="1"/>
    <n v="77"/>
  </r>
  <r>
    <s v="Row76_Row256_Row1_Row193_Row110_Row1_Row0_Row3"/>
    <n v="77"/>
    <s v="RES000077"/>
    <s v="Row544"/>
    <x v="0"/>
    <s v="Row544"/>
    <s v="Row383"/>
    <x v="6"/>
    <s v="Row0"/>
    <s v="Row4"/>
    <s v="2661.1499999999996"/>
    <n v="3"/>
    <n v="0"/>
    <n v="0"/>
    <n v="6"/>
    <n v="3"/>
    <n v="0"/>
    <n v="0"/>
    <n v="1"/>
    <n v="1"/>
    <s v="887.05"/>
    <s v="270.07"/>
    <n v="270.07"/>
    <s v="616.98"/>
    <n v="1"/>
    <n v="1"/>
    <n v="78"/>
  </r>
  <r>
    <s v="Row77_Row220_Row3_Row81_Row115_Row0_Row0_Row1"/>
    <n v="78"/>
    <s v="RES000078"/>
    <s v="Row454"/>
    <x v="1"/>
    <s v="Row174"/>
    <s v="Row454"/>
    <x v="0"/>
    <s v="Row0"/>
    <s v="Row2"/>
    <s v="170.63"/>
    <n v="3"/>
    <n v="2"/>
    <n v="0"/>
    <n v="1"/>
    <n v="5"/>
    <n v="0"/>
    <n v="0"/>
    <n v="1"/>
    <n v="1"/>
    <s v="170.63"/>
    <s v="61.02"/>
    <n v="61.02"/>
    <s v="109.60999999999999"/>
    <n v="1"/>
    <n v="1"/>
    <n v="79"/>
  </r>
  <r>
    <s v="Row78_Row58_Row2_Row84_Row97_Row2_Row0_Row4"/>
    <n v="79"/>
    <s v="RES000079"/>
    <s v="Row120"/>
    <x v="2"/>
    <s v="Row179"/>
    <s v="Row296"/>
    <x v="1"/>
    <s v="Row0"/>
    <s v="Row9"/>
    <s v="1014.74"/>
    <n v="3"/>
    <n v="0"/>
    <n v="0"/>
    <n v="2"/>
    <n v="3"/>
    <n v="0"/>
    <n v="0"/>
    <n v="1"/>
    <n v="1"/>
    <s v="507.37"/>
    <s v="274.59"/>
    <n v="274.58999999999997"/>
    <s v="232.78000000000003"/>
    <n v="1"/>
    <n v="1"/>
    <n v="80"/>
  </r>
  <r>
    <s v="Row79_Row308_Row0_Row229_Row45_Row6_Row0_Row2"/>
    <n v="80"/>
    <s v="RES000080"/>
    <s v="Row680"/>
    <x v="3"/>
    <s v="Row831"/>
    <s v="Row103"/>
    <x v="2"/>
    <s v="Row0"/>
    <s v="Row3"/>
    <s v="1741.2599999999998"/>
    <n v="1"/>
    <n v="1"/>
    <n v="0"/>
    <n v="3"/>
    <n v="2"/>
    <n v="0"/>
    <n v="0"/>
    <n v="1"/>
    <n v="1"/>
    <s v="580.42"/>
    <s v="229.39000000000001"/>
    <n v="229.39"/>
    <s v="351.03"/>
    <n v="1"/>
    <n v="1"/>
    <n v="81"/>
  </r>
  <r>
    <s v="Row80_Row563_Row1_Row240_Row142_Row5_Row2_Row5"/>
    <n v="81"/>
    <s v="RES000081"/>
    <s v="Row1424"/>
    <x v="0"/>
    <s v="Row1350"/>
    <s v="Row1365"/>
    <x v="3"/>
    <s v="Row1350"/>
    <s v="Row1350"/>
    <s v="0"/>
    <n v="1"/>
    <n v="0"/>
    <n v="0"/>
    <n v="4"/>
    <n v="1"/>
    <n v="1"/>
    <n v="0"/>
    <n v="0"/>
    <n v="0"/>
    <s v="370.19"/>
    <n v="0"/>
    <n v="0"/>
    <s v="370.19"/>
    <n v="1"/>
    <n v="0"/>
    <n v="82"/>
  </r>
  <r>
    <s v="Row81_Row504_Row3_Row248_Row136_Row4_Row2_Row5"/>
    <n v="82"/>
    <s v="RES000082"/>
    <s v="Row1358"/>
    <x v="1"/>
    <s v="Row1358"/>
    <s v="Row1358"/>
    <x v="4"/>
    <s v="Row1350"/>
    <s v="Row1350"/>
    <s v="0"/>
    <n v="1"/>
    <n v="0"/>
    <n v="0"/>
    <n v="5"/>
    <n v="1"/>
    <n v="1"/>
    <n v="0"/>
    <n v="0"/>
    <n v="0"/>
    <s v="548.05"/>
    <n v="0"/>
    <n v="0"/>
    <s v="548.05"/>
    <n v="1"/>
    <n v="0"/>
    <n v="83"/>
  </r>
  <r>
    <s v="Row82_Row540_Row2_Row274_Row137_Row3_Row2_Row5"/>
    <n v="83"/>
    <s v="RES000083"/>
    <s v="Row1397"/>
    <x v="2"/>
    <s v="Row1397"/>
    <s v="Row1359"/>
    <x v="5"/>
    <s v="Row1350"/>
    <s v="Row1350"/>
    <s v="0"/>
    <n v="2"/>
    <n v="0"/>
    <n v="0"/>
    <n v="6"/>
    <n v="2"/>
    <n v="1"/>
    <n v="0"/>
    <n v="0"/>
    <n v="0"/>
    <s v="698.34"/>
    <n v="0"/>
    <n v="0"/>
    <s v="698.34"/>
    <n v="1"/>
    <n v="0"/>
    <n v="84"/>
  </r>
  <r>
    <s v="Row83_Row565_Row0_Row246_Row155_Row1_Row3_Row5"/>
    <n v="84"/>
    <s v="RES000084"/>
    <s v="Row1426"/>
    <x v="3"/>
    <s v="Row1356"/>
    <s v="Row1404"/>
    <x v="6"/>
    <s v="Row1351"/>
    <s v="Row1350"/>
    <s v="0"/>
    <n v="2"/>
    <n v="2"/>
    <n v="1"/>
    <n v="1"/>
    <n v="5"/>
    <n v="0"/>
    <n v="1"/>
    <n v="0"/>
    <n v="0"/>
    <s v="123.17"/>
    <n v="0"/>
    <n v="0"/>
    <s v="123.17"/>
    <n v="1"/>
    <n v="0"/>
    <n v="85"/>
  </r>
  <r>
    <s v="Row84_Row365_Row1_Row205_Row121_Row0_Row1_Row3"/>
    <n v="85"/>
    <s v="RES000085"/>
    <s v="Row865"/>
    <x v="0"/>
    <s v="Row591"/>
    <s v="Row547"/>
    <x v="0"/>
    <s v="Row87"/>
    <s v="Row4"/>
    <s v="160.87"/>
    <n v="2"/>
    <n v="0"/>
    <n v="0"/>
    <n v="2"/>
    <n v="2"/>
    <n v="0"/>
    <n v="0"/>
    <n v="0"/>
    <n v="0"/>
    <s v="402.17"/>
    <s v="206.79"/>
    <n v="206.79"/>
    <s v="195.38000000000002"/>
    <n v="1"/>
    <n v="0"/>
    <n v="86"/>
  </r>
  <r>
    <s v="Row85_Row321_Row3_Row165_Row52_Row2_Row1_Row1"/>
    <n v="86"/>
    <s v="RES000086"/>
    <s v="Row717"/>
    <x v="1"/>
    <s v="Row409"/>
    <s v="Row122"/>
    <x v="1"/>
    <s v="Row87"/>
    <s v="Row2"/>
    <s v="169.5"/>
    <n v="3"/>
    <n v="0"/>
    <n v="0"/>
    <n v="3"/>
    <n v="3"/>
    <n v="0"/>
    <n v="0"/>
    <n v="0"/>
    <n v="0"/>
    <s v="423.75"/>
    <s v="94.92"/>
    <n v="94.92"/>
    <s v="328.83"/>
    <n v="1"/>
    <n v="0"/>
    <n v="87"/>
  </r>
  <r>
    <s v="Row86_Row288_Row2_Row117_Row77_Row6_Row0_Row1"/>
    <n v="87"/>
    <s v="RES000087"/>
    <s v="Row639"/>
    <x v="2"/>
    <s v="Row255"/>
    <s v="Row197"/>
    <x v="2"/>
    <s v="Row0"/>
    <s v="Row2"/>
    <s v="528.84"/>
    <n v="3"/>
    <n v="0"/>
    <n v="0"/>
    <n v="4"/>
    <n v="3"/>
    <n v="0"/>
    <n v="0"/>
    <n v="1"/>
    <n v="1"/>
    <s v="528.84"/>
    <s v="63.28"/>
    <n v="63.28"/>
    <s v="465.56000000000006"/>
    <n v="1"/>
    <n v="1"/>
    <n v="88"/>
  </r>
  <r>
    <s v="Row87_Row187_Row0_Row157_Row109_Row5_Row0_Row4"/>
    <n v="88"/>
    <s v="RES000088"/>
    <s v="Row375"/>
    <x v="3"/>
    <s v="Row375"/>
    <s v="Row375"/>
    <x v="3"/>
    <s v="Row0"/>
    <s v="Row9"/>
    <s v="1365.04"/>
    <n v="3"/>
    <n v="1"/>
    <n v="0"/>
    <n v="5"/>
    <n v="4"/>
    <n v="0"/>
    <n v="0"/>
    <n v="1"/>
    <n v="1"/>
    <s v="682.52"/>
    <s v="66.67"/>
    <n v="66.67"/>
    <s v="615.85"/>
    <n v="1"/>
    <n v="1"/>
    <n v="89"/>
  </r>
  <r>
    <s v="Row88_Row208_Row1_Row169_Row86_Row4_Row0_Row2"/>
    <n v="89"/>
    <s v="RES000089"/>
    <s v="Row421"/>
    <x v="0"/>
    <s v="Row421"/>
    <s v="Row228"/>
    <x v="4"/>
    <s v="Row0"/>
    <s v="Row3"/>
    <s v="2642.8500000000004"/>
    <n v="3"/>
    <n v="0"/>
    <n v="0"/>
    <n v="6"/>
    <n v="3"/>
    <n v="0"/>
    <n v="0"/>
    <n v="1"/>
    <n v="1"/>
    <s v="880.95"/>
    <s v="263.97"/>
    <n v="263.97000000000003"/>
    <s v="616.98"/>
    <n v="1"/>
    <n v="1"/>
    <n v="90"/>
  </r>
  <r>
    <s v="Row89_Row130_Row3_Row20_Row90_Row3_Row0_Row0"/>
    <n v="90"/>
    <s v="RES000090"/>
    <s v="Row254"/>
    <x v="1"/>
    <s v="Row47"/>
    <s v="Row254"/>
    <x v="5"/>
    <s v="Row0"/>
    <s v="Row0"/>
    <s v="148.09"/>
    <n v="1"/>
    <n v="2"/>
    <n v="0"/>
    <n v="1"/>
    <n v="3"/>
    <n v="0"/>
    <n v="0"/>
    <n v="1"/>
    <n v="1"/>
    <s v="148.09"/>
    <s v="54.92"/>
    <n v="54.92"/>
    <s v="93.17"/>
    <n v="1"/>
    <n v="1"/>
    <n v="1"/>
  </r>
  <r>
    <s v="Row90_Row44_Row2_Row40_Row39_Row1_Row0_Row3"/>
    <n v="91"/>
    <s v="RES000091"/>
    <s v="Row92"/>
    <x v="2"/>
    <s v="Row92"/>
    <s v="Row92"/>
    <x v="6"/>
    <s v="Row0"/>
    <s v="Row4"/>
    <s v="1014.74"/>
    <n v="1"/>
    <n v="0"/>
    <n v="0"/>
    <n v="2"/>
    <n v="1"/>
    <n v="0"/>
    <n v="0"/>
    <n v="1"/>
    <n v="1"/>
    <s v="507.37"/>
    <s v="274.59"/>
    <n v="274.58999999999997"/>
    <s v="232.78000000000003"/>
    <n v="1"/>
    <n v="1"/>
    <n v="2"/>
  </r>
  <r>
    <s v="Row91_Row351_Row0_Row209_Row101_Row0_Row0_Row1"/>
    <n v="92"/>
    <s v="RES000092"/>
    <s v="Row814"/>
    <x v="3"/>
    <s v="Row615"/>
    <s v="Row336"/>
    <x v="0"/>
    <s v="Row0"/>
    <s v="Row2"/>
    <s v="1796.6999999999998"/>
    <n v="1"/>
    <n v="1"/>
    <n v="0"/>
    <n v="3"/>
    <n v="2"/>
    <n v="0"/>
    <n v="0"/>
    <n v="1"/>
    <n v="1"/>
    <s v="598.9"/>
    <s v="229.39000000000001"/>
    <n v="229.39"/>
    <s v="369.51"/>
    <n v="1"/>
    <n v="1"/>
    <n v="3"/>
  </r>
  <r>
    <s v="Row92_Row207_Row1_Row119_Row113_Row2_Row0_Row4"/>
    <n v="93"/>
    <s v="RES000093"/>
    <s v="Row420"/>
    <x v="0"/>
    <s v="Row259"/>
    <s v="Row420"/>
    <x v="1"/>
    <s v="Row0"/>
    <s v="Row9"/>
    <s v="488.16"/>
    <n v="2"/>
    <n v="0"/>
    <n v="0"/>
    <n v="4"/>
    <n v="2"/>
    <n v="0"/>
    <n v="0"/>
    <n v="1"/>
    <n v="1"/>
    <s v="488.16"/>
    <s v="76.84"/>
    <n v="76.84"/>
    <s v="411.32000000000005"/>
    <n v="1"/>
    <n v="1"/>
    <n v="4"/>
  </r>
  <r>
    <s v="Row93_Row61_Row3_Row211_Row102_Row6_Row0_Row2"/>
    <n v="94"/>
    <s v="RES000094"/>
    <s v="Row126"/>
    <x v="1"/>
    <s v="Row626"/>
    <s v="Row345"/>
    <x v="2"/>
    <s v="Row0"/>
    <s v="Row3"/>
    <s v="1256.56"/>
    <n v="2"/>
    <n v="0"/>
    <n v="0"/>
    <n v="5"/>
    <n v="2"/>
    <n v="0"/>
    <n v="0"/>
    <n v="1"/>
    <n v="1"/>
    <s v="628.28"/>
    <s v="80.22999999999999"/>
    <n v="80.229999999999905"/>
    <s v="548.05"/>
    <n v="1"/>
    <n v="1"/>
    <n v="5"/>
  </r>
  <r>
    <s v="Row94_Row115_Row2_Row28_Row85_Row5_Row0_Row0"/>
    <n v="95"/>
    <s v="RES000095"/>
    <s v="Row220"/>
    <x v="2"/>
    <s v="Row68"/>
    <s v="Row220"/>
    <x v="3"/>
    <s v="Row0"/>
    <s v="Row0"/>
    <s v="2738.43"/>
    <n v="2"/>
    <n v="0"/>
    <n v="0"/>
    <n v="6"/>
    <n v="2"/>
    <n v="0"/>
    <n v="0"/>
    <n v="1"/>
    <n v="1"/>
    <s v="912.81"/>
    <s v="249.39000000000001"/>
    <n v="249.39"/>
    <s v="663.42"/>
    <n v="1"/>
    <n v="1"/>
    <n v="6"/>
  </r>
  <r>
    <s v="Row95_Row316_Row0_Row137_Row10_Row4_Row0_Row3"/>
    <n v="96"/>
    <s v="RES000096"/>
    <s v="Row708"/>
    <x v="3"/>
    <s v="Row327"/>
    <s v="Row26"/>
    <x v="4"/>
    <s v="Row0"/>
    <s v="Row4"/>
    <s v="170.63"/>
    <n v="3"/>
    <n v="2"/>
    <n v="1"/>
    <n v="1"/>
    <n v="6"/>
    <n v="0"/>
    <n v="0"/>
    <n v="1"/>
    <n v="1"/>
    <s v="170.63"/>
    <s v="47.46"/>
    <n v="47.46"/>
    <s v="123.16999999999999"/>
    <n v="1"/>
    <n v="1"/>
    <n v="7"/>
  </r>
  <r>
    <s v="Row96_Row98_Row1_Row87_Row14_Row3_Row0_Row1"/>
    <n v="97"/>
    <s v="RES000097"/>
    <s v="Row186"/>
    <x v="0"/>
    <s v="Row186"/>
    <s v="Row34"/>
    <x v="5"/>
    <s v="Row0"/>
    <s v="Row2"/>
    <s v="973.38"/>
    <n v="3"/>
    <n v="0"/>
    <n v="0"/>
    <n v="2"/>
    <n v="3"/>
    <n v="0"/>
    <n v="0"/>
    <n v="1"/>
    <n v="1"/>
    <s v="486.69"/>
    <s v="281.03000000000003"/>
    <n v="281.02999999999997"/>
    <s v="205.65999999999997"/>
    <n v="1"/>
    <n v="1"/>
    <n v="8"/>
  </r>
  <r>
    <s v="Row97_Row241_Row3_Row184_Row25_Row1_Row0_Row4"/>
    <n v="98"/>
    <s v="RES000098"/>
    <s v="Row506"/>
    <x v="1"/>
    <s v="Row506"/>
    <s v="Row62"/>
    <x v="6"/>
    <s v="Row0"/>
    <s v="Row9"/>
    <s v="1593.3000000000002"/>
    <n v="3"/>
    <n v="0"/>
    <n v="0"/>
    <n v="3"/>
    <n v="3"/>
    <n v="0"/>
    <n v="0"/>
    <n v="1"/>
    <n v="1"/>
    <s v="531.1"/>
    <s v="202.26999999999998"/>
    <n v="202.26999999999899"/>
    <s v="328.83000000000004"/>
    <n v="1"/>
    <n v="1"/>
    <n v="9"/>
  </r>
  <r>
    <s v="Row98_Row146_Row2_Row51_Row83_Row0_Row0_Row2"/>
    <n v="99"/>
    <s v="RES000099"/>
    <s v="Row288"/>
    <x v="2"/>
    <s v="Row120"/>
    <s v="Row212"/>
    <x v="0"/>
    <s v="Row0"/>
    <s v="Row3"/>
    <s v="482.28"/>
    <n v="3"/>
    <n v="0"/>
    <n v="0"/>
    <n v="4"/>
    <n v="3"/>
    <n v="0"/>
    <n v="0"/>
    <n v="1"/>
    <n v="1"/>
    <s v="482.28"/>
    <s v="63.28"/>
    <n v="63.28"/>
    <n v="419"/>
    <n v="1"/>
    <n v="1"/>
    <n v="10"/>
  </r>
  <r>
    <s v="Row99_Row471_Row0_Row46_Row114_Row2_Row0_Row0"/>
    <n v="100"/>
    <s v="RES000100"/>
    <s v="Row1251"/>
    <x v="3"/>
    <s v="Row103"/>
    <s v="Row444"/>
    <x v="1"/>
    <s v="Row0"/>
    <s v="Row0"/>
    <s v="1303.46"/>
    <n v="1"/>
    <n v="1"/>
    <n v="0"/>
    <n v="5"/>
    <n v="2"/>
    <n v="0"/>
    <n v="0"/>
    <n v="1"/>
    <n v="1"/>
    <s v="651.73"/>
    <s v="66.67"/>
    <n v="66.67"/>
    <s v="585.0600000000001"/>
    <n v="1"/>
    <n v="1"/>
    <n v="11"/>
  </r>
  <r>
    <s v="Row100_Row503_Row1_Row247_Row135_Row6_Row2_Row5"/>
    <n v="101"/>
    <s v="RES000101"/>
    <s v="Row1357"/>
    <x v="0"/>
    <s v="Row1357"/>
    <s v="Row1357"/>
    <x v="2"/>
    <s v="Row1350"/>
    <s v="Row1350"/>
    <s v="0"/>
    <n v="1"/>
    <n v="0"/>
    <n v="0"/>
    <n v="6"/>
    <n v="1"/>
    <n v="1"/>
    <n v="0"/>
    <n v="0"/>
    <n v="0"/>
    <s v="1037.34"/>
    <n v="0"/>
    <n v="0"/>
    <s v="1037.34"/>
    <n v="1"/>
    <n v="0"/>
    <n v="12"/>
  </r>
  <r>
    <s v="Row101_Row530_Row3_Row268_Row150_Row5_Row2_Row5"/>
    <n v="102"/>
    <s v="RES000102"/>
    <s v="Row1387"/>
    <x v="1"/>
    <s v="Row1387"/>
    <s v="Row1384"/>
    <x v="3"/>
    <s v="Row1350"/>
    <s v="Row1350"/>
    <s v="0"/>
    <n v="1"/>
    <n v="2"/>
    <n v="0"/>
    <n v="1"/>
    <n v="3"/>
    <n v="1"/>
    <n v="0"/>
    <n v="0"/>
    <n v="0"/>
    <s v="181.93"/>
    <n v="0"/>
    <n v="0"/>
    <s v="181.93"/>
    <n v="1"/>
    <n v="0"/>
    <n v="13"/>
  </r>
  <r>
    <s v="Row102_Row547_Row2_Row290_Row159_Row4_Row2_Row5"/>
    <n v="103"/>
    <s v="RES000103"/>
    <s v="Row1405"/>
    <x v="2"/>
    <s v="Row1433"/>
    <s v="Row1487"/>
    <x v="4"/>
    <s v="Row1350"/>
    <s v="Row1350"/>
    <s v="0"/>
    <n v="2"/>
    <n v="0"/>
    <n v="0"/>
    <n v="2"/>
    <n v="2"/>
    <n v="1"/>
    <n v="0"/>
    <n v="0"/>
    <n v="0"/>
    <s v="381.94"/>
    <n v="0"/>
    <n v="0"/>
    <s v="381.94"/>
    <n v="1"/>
    <n v="0"/>
    <n v="14"/>
  </r>
  <r>
    <s v="Row103_Row528_Row0_Row267_Row129_Row3_Row3_Row5"/>
    <n v="104"/>
    <s v="RES000104"/>
    <s v="Row1385"/>
    <x v="3"/>
    <s v="Row1385"/>
    <s v="Row1351"/>
    <x v="5"/>
    <s v="Row1351"/>
    <s v="Row1350"/>
    <s v="0"/>
    <n v="2"/>
    <n v="1"/>
    <n v="0"/>
    <n v="3"/>
    <n v="3"/>
    <n v="0"/>
    <n v="1"/>
    <n v="0"/>
    <n v="0"/>
    <s v="600.03"/>
    <n v="0"/>
    <n v="0"/>
    <s v="600.03"/>
    <n v="1"/>
    <n v="0"/>
    <n v="15"/>
  </r>
  <r>
    <s v="Row104_Row257_Row1_Row227_Row54_Row1_Row1_Row1"/>
    <n v="105"/>
    <s v="RES000105"/>
    <s v="Row547"/>
    <x v="0"/>
    <s v="Row810"/>
    <s v="Row127"/>
    <x v="6"/>
    <s v="Row87"/>
    <s v="Row2"/>
    <s v="265.87"/>
    <n v="2"/>
    <n v="0"/>
    <n v="0"/>
    <n v="4"/>
    <n v="2"/>
    <n v="0"/>
    <n v="0"/>
    <n v="0"/>
    <n v="0"/>
    <s v="664.67"/>
    <s v="76.84"/>
    <n v="76.84"/>
    <s v="587.8299999999999"/>
    <n v="1"/>
    <n v="0"/>
    <n v="16"/>
  </r>
  <r>
    <s v="Row105_Row148_Row3_Row181_Row35_Row0_Row1_Row4"/>
    <n v="106"/>
    <s v="RES000106"/>
    <s v="Row292"/>
    <x v="1"/>
    <s v="Row463"/>
    <s v="Row87"/>
    <x v="0"/>
    <s v="Row87"/>
    <s v="Row9"/>
    <s v="389.62"/>
    <n v="3"/>
    <n v="0"/>
    <n v="0"/>
    <n v="5"/>
    <n v="3"/>
    <n v="0"/>
    <n v="0"/>
    <n v="0"/>
    <n v="0"/>
    <s v="974.06"/>
    <s v="64.41"/>
    <n v="64.41"/>
    <s v="909.65"/>
    <n v="1"/>
    <n v="0"/>
    <n v="17"/>
  </r>
  <r>
    <s v="Row106_Row319_Row2_Row116_Row57_Row2_Row0_Row4"/>
    <n v="107"/>
    <s v="RES000107"/>
    <s v="Row712"/>
    <x v="2"/>
    <s v="Row251"/>
    <s v="Row139"/>
    <x v="1"/>
    <s v="Row0"/>
    <s v="Row9"/>
    <s v="4247.67"/>
    <n v="3"/>
    <n v="0"/>
    <n v="0"/>
    <n v="6"/>
    <n v="3"/>
    <n v="0"/>
    <n v="0"/>
    <n v="1"/>
    <n v="1"/>
    <s v="1415.89"/>
    <s v="270.07"/>
    <n v="270.07"/>
    <s v="1145.8200000000002"/>
    <n v="1"/>
    <n v="1"/>
    <n v="18"/>
  </r>
  <r>
    <s v="Row107_Row99_Row0_Row88_Row55_Row6_Row0_Row2"/>
    <n v="108"/>
    <s v="RES000108"/>
    <s v="Row188"/>
    <x v="3"/>
    <s v="Row188"/>
    <s v="Row132"/>
    <x v="2"/>
    <s v="Row0"/>
    <s v="Row3"/>
    <s v="227.47"/>
    <n v="3"/>
    <n v="2"/>
    <n v="1"/>
    <n v="1"/>
    <n v="6"/>
    <n v="0"/>
    <n v="0"/>
    <n v="1"/>
    <n v="1"/>
    <s v="227.47"/>
    <s v="47.46"/>
    <n v="47.46"/>
    <s v="180.01"/>
    <n v="1"/>
    <n v="1"/>
    <n v="19"/>
  </r>
  <r>
    <s v="Row108_Row358_Row1_Row106_Row76_Row5_Row0_Row0"/>
    <n v="109"/>
    <s v="RES000109"/>
    <s v="Row830"/>
    <x v="0"/>
    <s v="Row228"/>
    <s v="Row192"/>
    <x v="3"/>
    <s v="Row0"/>
    <s v="Row0"/>
    <s v="1294.98"/>
    <n v="3"/>
    <n v="0"/>
    <n v="0"/>
    <n v="2"/>
    <n v="3"/>
    <n v="0"/>
    <n v="0"/>
    <n v="1"/>
    <n v="1"/>
    <s v="647.49"/>
    <s v="301.71"/>
    <n v="301.70999999999998"/>
    <s v="345.78000000000003"/>
    <n v="1"/>
    <n v="1"/>
    <n v="20"/>
  </r>
  <r>
    <s v="Row109_Row339_Row3_Row162_Row61_Row4_Row0_Row3"/>
    <n v="110"/>
    <s v="RES000110"/>
    <s v="Row771"/>
    <x v="1"/>
    <s v="Row393"/>
    <s v="Row145"/>
    <x v="4"/>
    <s v="Row0"/>
    <s v="Row4"/>
    <s v="2143.32"/>
    <n v="1"/>
    <n v="0"/>
    <n v="0"/>
    <n v="3"/>
    <n v="1"/>
    <n v="0"/>
    <n v="0"/>
    <n v="1"/>
    <n v="1"/>
    <s v="714.44"/>
    <s v="195.94"/>
    <n v="195.94"/>
    <s v="518.5"/>
    <n v="1"/>
    <n v="1"/>
    <n v="21"/>
  </r>
  <r>
    <s v="Row110_Row400_Row2_Row150_Row13_Row3_Row0_Row1"/>
    <n v="111"/>
    <s v="RES000111"/>
    <s v="Row961"/>
    <x v="2"/>
    <s v="Row357"/>
    <s v="Row32"/>
    <x v="5"/>
    <s v="Row0"/>
    <s v="Row2"/>
    <s v="820.83"/>
    <n v="1"/>
    <n v="0"/>
    <n v="0"/>
    <n v="4"/>
    <n v="1"/>
    <n v="0"/>
    <n v="0"/>
    <n v="1"/>
    <n v="1"/>
    <s v="820.83"/>
    <s v="56.95"/>
    <n v="56.95"/>
    <s v="763.88"/>
    <n v="1"/>
    <n v="1"/>
    <n v="22"/>
  </r>
  <r>
    <s v="Row111_Row168_Row0_Row191_Row126_Row1_Row0_Row4"/>
    <n v="112"/>
    <s v="RES000112"/>
    <s v="Row336"/>
    <x v="3"/>
    <s v="Row536"/>
    <s v="Row646"/>
    <x v="6"/>
    <s v="Row0"/>
    <s v="Row9"/>
    <s v="2133.44"/>
    <n v="1"/>
    <n v="1"/>
    <n v="0"/>
    <n v="5"/>
    <n v="2"/>
    <n v="0"/>
    <n v="0"/>
    <n v="1"/>
    <n v="1"/>
    <s v="1066.72"/>
    <s v="66.67"/>
    <n v="66.67"/>
    <s v="1000.0500000000001"/>
    <n v="1"/>
    <n v="1"/>
    <n v="23"/>
  </r>
  <r>
    <s v="Row112_Row25_Row1_Row23_Row1_Row0_Row0_Row2"/>
    <n v="113"/>
    <s v="RES000113"/>
    <s v="Row53"/>
    <x v="0"/>
    <s v="Row53"/>
    <s v="Row2"/>
    <x v="0"/>
    <s v="Row0"/>
    <s v="Row3"/>
    <s v="3922.2300000000005"/>
    <n v="2"/>
    <n v="0"/>
    <n v="0"/>
    <n v="6"/>
    <n v="2"/>
    <n v="0"/>
    <n v="0"/>
    <n v="1"/>
    <n v="1"/>
    <s v="1307.41"/>
    <s v="270.07"/>
    <n v="270.07"/>
    <s v="1037.3400000000001"/>
    <n v="1"/>
    <n v="1"/>
    <n v="24"/>
  </r>
  <r>
    <s v="Row113_Row173_Row3_Row55_Row118_Row2_Row0_Row0"/>
    <n v="114"/>
    <s v="RES000114"/>
    <s v="Row345"/>
    <x v="1"/>
    <s v="Row126"/>
    <s v="Row495"/>
    <x v="1"/>
    <s v="Row0"/>
    <s v="Row0"/>
    <s v="242.95"/>
    <n v="2"/>
    <n v="2"/>
    <n v="0"/>
    <n v="1"/>
    <n v="4"/>
    <n v="0"/>
    <n v="0"/>
    <n v="1"/>
    <n v="1"/>
    <s v="242.95"/>
    <s v="61.02"/>
    <n v="61.02"/>
    <s v="181.92999999999998"/>
    <n v="1"/>
    <n v="1"/>
    <n v="25"/>
  </r>
  <r>
    <s v="Row114_Row97_Row2_Row86_Row75_Row6_Row0_Row3"/>
    <n v="115"/>
    <s v="RES000115"/>
    <s v="Row184"/>
    <x v="2"/>
    <s v="Row184"/>
    <s v="Row184"/>
    <x v="2"/>
    <s v="Row0"/>
    <s v="Row4"/>
    <s v="1274.86"/>
    <n v="2"/>
    <n v="0"/>
    <n v="0"/>
    <n v="2"/>
    <n v="2"/>
    <n v="0"/>
    <n v="0"/>
    <n v="1"/>
    <n v="1"/>
    <s v="637.43"/>
    <s v="274.59"/>
    <n v="274.58999999999997"/>
    <s v="362.84"/>
    <n v="1"/>
    <n v="1"/>
    <n v="26"/>
  </r>
  <r>
    <s v="Row115_Row167_Row0_Row141_Row46_Row5_Row0_Row1"/>
    <n v="116"/>
    <s v="RES000116"/>
    <s v="Row333"/>
    <x v="3"/>
    <s v="Row333"/>
    <s v="Row107"/>
    <x v="3"/>
    <s v="Row0"/>
    <s v="Row2"/>
    <s v="2468.94"/>
    <n v="3"/>
    <n v="1"/>
    <n v="0"/>
    <n v="3"/>
    <n v="4"/>
    <n v="0"/>
    <n v="0"/>
    <n v="1"/>
    <n v="1"/>
    <s v="822.98"/>
    <s v="222.95000000000002"/>
    <n v="222.95"/>
    <s v="600.03"/>
    <n v="1"/>
    <n v="1"/>
    <n v="27"/>
  </r>
  <r>
    <s v="Row116_Row305_Row1_Row14_Row127_Row4_Row0_Row4"/>
    <n v="117"/>
    <s v="RES000117"/>
    <s v="Row673"/>
    <x v="0"/>
    <s v="Row34"/>
    <s v="Row673"/>
    <x v="4"/>
    <s v="Row0"/>
    <s v="Row9"/>
    <s v="699.24"/>
    <n v="3"/>
    <n v="0"/>
    <n v="0"/>
    <n v="4"/>
    <n v="3"/>
    <n v="0"/>
    <n v="0"/>
    <n v="1"/>
    <n v="1"/>
    <s v="699.24"/>
    <s v="76.84"/>
    <n v="76.84"/>
    <s v="622.4"/>
    <n v="1"/>
    <n v="1"/>
    <n v="28"/>
  </r>
  <r>
    <s v="Row117_Row139_Row3_Row115_Row7_Row3_Row0_Row2"/>
    <n v="118"/>
    <s v="RES000118"/>
    <s v="Row267"/>
    <x v="1"/>
    <s v="Row249"/>
    <s v="Row15"/>
    <x v="5"/>
    <s v="Row0"/>
    <s v="Row3"/>
    <s v="1966.88"/>
    <n v="3"/>
    <n v="0"/>
    <n v="0"/>
    <n v="5"/>
    <n v="3"/>
    <n v="0"/>
    <n v="0"/>
    <n v="1"/>
    <n v="1"/>
    <s v="983.44"/>
    <s v="73.78999999999999"/>
    <n v="73.789999999999907"/>
    <s v="909.6500000000001"/>
    <n v="1"/>
    <n v="1"/>
    <n v="29"/>
  </r>
  <r>
    <s v="Row118_Row245_Row2_Row100_Row119_Row1_Row0_Row0"/>
    <n v="119"/>
    <s v="RES000119"/>
    <s v="Row519"/>
    <x v="2"/>
    <s v="Row212"/>
    <s v="Row519"/>
    <x v="6"/>
    <s v="Row0"/>
    <s v="Row0"/>
    <s v="4247.67"/>
    <n v="3"/>
    <n v="0"/>
    <n v="0"/>
    <n v="6"/>
    <n v="3"/>
    <n v="0"/>
    <n v="0"/>
    <n v="1"/>
    <n v="1"/>
    <s v="1415.89"/>
    <s v="270.07"/>
    <n v="270.07"/>
    <s v="1145.8200000000002"/>
    <n v="1"/>
    <n v="1"/>
    <n v="30"/>
  </r>
  <r>
    <s v="Row119_Row28_Row0_Row26_Row24_Row0_Row0_Row3"/>
    <n v="120"/>
    <s v="RES000120"/>
    <s v="Row61"/>
    <x v="3"/>
    <s v="Row61"/>
    <s v="Row61"/>
    <x v="0"/>
    <s v="Row0"/>
    <s v="Row4"/>
    <s v="217.47"/>
    <n v="1"/>
    <n v="2"/>
    <n v="1"/>
    <n v="1"/>
    <n v="4"/>
    <n v="0"/>
    <n v="0"/>
    <n v="1"/>
    <n v="1"/>
    <s v="217.47"/>
    <s v="47.46"/>
    <n v="47.46"/>
    <s v="170.01"/>
    <n v="1"/>
    <n v="1"/>
    <n v="31"/>
  </r>
  <r>
    <s v="Row120_Row539_Row1_Row287_Row130_Row2_Row2_Row5"/>
    <n v="121"/>
    <s v="RES000121"/>
    <s v="Row1396"/>
    <x v="0"/>
    <s v="Row1423"/>
    <s v="Row1352"/>
    <x v="1"/>
    <s v="Row1350"/>
    <s v="Row1350"/>
    <s v="0"/>
    <n v="1"/>
    <n v="0"/>
    <n v="0"/>
    <n v="2"/>
    <n v="1"/>
    <n v="1"/>
    <n v="0"/>
    <n v="0"/>
    <n v="0"/>
    <s v="345.78"/>
    <n v="0"/>
    <n v="0"/>
    <s v="345.78"/>
    <n v="1"/>
    <n v="0"/>
    <n v="32"/>
  </r>
  <r>
    <s v="Row121_Row579_Row3_Row292_Row145_Row6_Row2_Row5"/>
    <n v="122"/>
    <s v="RES000122"/>
    <s v="Row1448"/>
    <x v="1"/>
    <s v="Row1435"/>
    <s v="Row1371"/>
    <x v="2"/>
    <s v="Row1350"/>
    <s v="Row1350"/>
    <s v="0"/>
    <n v="1"/>
    <n v="0"/>
    <n v="0"/>
    <n v="3"/>
    <n v="1"/>
    <n v="1"/>
    <n v="0"/>
    <n v="0"/>
    <n v="0"/>
    <s v="545.79"/>
    <n v="0"/>
    <n v="0"/>
    <s v="545.79"/>
    <n v="1"/>
    <n v="0"/>
    <n v="33"/>
  </r>
  <r>
    <s v="Row122_Row544_Row2_Row278_Row148_Row5_Row2_Row5"/>
    <n v="123"/>
    <s v="RES000123"/>
    <s v="Row1402"/>
    <x v="2"/>
    <s v="Row1402"/>
    <s v="Row1374"/>
    <x v="3"/>
    <s v="Row1350"/>
    <s v="Row1350"/>
    <s v="0"/>
    <n v="2"/>
    <n v="0"/>
    <n v="0"/>
    <n v="4"/>
    <n v="2"/>
    <n v="1"/>
    <n v="0"/>
    <n v="0"/>
    <n v="0"/>
    <s v="763.88"/>
    <n v="0"/>
    <n v="0"/>
    <s v="763.88"/>
    <n v="1"/>
    <n v="0"/>
    <n v="34"/>
  </r>
  <r>
    <s v="Row123_Row572_Row0_Row265_Row144_Row4_Row3_Row5"/>
    <n v="124"/>
    <s v="RES000124"/>
    <s v="Row1437"/>
    <x v="3"/>
    <s v="Row1380"/>
    <s v="Row1370"/>
    <x v="4"/>
    <s v="Row1351"/>
    <s v="Row1350"/>
    <s v="0"/>
    <n v="2"/>
    <n v="1"/>
    <n v="0"/>
    <n v="5"/>
    <n v="3"/>
    <n v="0"/>
    <n v="1"/>
    <n v="0"/>
    <n v="0"/>
    <s v="1000.05"/>
    <n v="0"/>
    <n v="0"/>
    <s v="1000.05"/>
    <n v="1"/>
    <n v="0"/>
    <n v="35"/>
  </r>
  <r>
    <s v="Row124_Row62_Row1_Row194_Row47_Row3_Row1_Row4"/>
    <n v="125"/>
    <s v="RES000125"/>
    <s v="Row127"/>
    <x v="0"/>
    <s v="Row547"/>
    <s v="Row110"/>
    <x v="5"/>
    <s v="Row87"/>
    <s v="Row9"/>
    <s v="402.32"/>
    <n v="2"/>
    <n v="0"/>
    <n v="0"/>
    <n v="6"/>
    <n v="2"/>
    <n v="0"/>
    <n v="0"/>
    <n v="0"/>
    <n v="0"/>
    <s v="1005.81"/>
    <s v="20.34"/>
    <n v="20.34"/>
    <s v="985.4699999999999"/>
    <n v="1"/>
    <n v="0"/>
    <n v="36"/>
  </r>
  <r>
    <s v="Row125_Row143_Row3_Row126_Row95_Row1_Row1_Row2"/>
    <n v="126"/>
    <s v="RES000126"/>
    <s v="Row280"/>
    <x v="1"/>
    <s v="Row280"/>
    <s v="Row280"/>
    <x v="6"/>
    <s v="Row87"/>
    <s v="Row3"/>
    <s v="89.9"/>
    <n v="3"/>
    <n v="2"/>
    <n v="0"/>
    <n v="1"/>
    <n v="5"/>
    <n v="0"/>
    <n v="0"/>
    <n v="0"/>
    <n v="0"/>
    <s v="224.76"/>
    <s v="61.02"/>
    <n v="61.02"/>
    <s v="163.73999999999998"/>
    <n v="1"/>
    <n v="0"/>
    <n v="37"/>
  </r>
  <r>
    <s v="Row126_Row68_Row2_Row91_Row71_Row0_Row0_Row2"/>
    <n v="127"/>
    <s v="RES000127"/>
    <s v="Row139"/>
    <x v="2"/>
    <s v="Row194"/>
    <s v="Row168"/>
    <x v="0"/>
    <s v="Row0"/>
    <s v="Row3"/>
    <s v="1313.06"/>
    <n v="3"/>
    <n v="0"/>
    <n v="0"/>
    <n v="2"/>
    <n v="3"/>
    <n v="0"/>
    <n v="0"/>
    <n v="1"/>
    <n v="1"/>
    <s v="656.53"/>
    <s v="274.59"/>
    <n v="274.58999999999997"/>
    <s v="381.94"/>
    <n v="1"/>
    <n v="1"/>
    <n v="38"/>
  </r>
  <r>
    <s v="Row127_Row60_Row0_Row54_Row53_Row2_Row0_Row0"/>
    <n v="128"/>
    <s v="RES000128"/>
    <s v="Row123"/>
    <x v="3"/>
    <s v="Row123"/>
    <s v="Row123"/>
    <x v="1"/>
    <s v="Row0"/>
    <s v="Row0"/>
    <s v="2488.2599999999998"/>
    <n v="3"/>
    <n v="1"/>
    <n v="0"/>
    <n v="3"/>
    <n v="4"/>
    <n v="0"/>
    <n v="0"/>
    <n v="1"/>
    <n v="1"/>
    <s v="829.42"/>
    <s v="229.39000000000001"/>
    <n v="229.39"/>
    <s v="600.03"/>
    <n v="1"/>
    <n v="1"/>
    <n v="39"/>
  </r>
  <r>
    <s v="Row128_Row322_Row1_Row228_Row34_Row6_Row0_Row3"/>
    <n v="129"/>
    <s v="RES000129"/>
    <s v="Row718"/>
    <x v="0"/>
    <s v="Row830"/>
    <s v="Row85"/>
    <x v="2"/>
    <s v="Row0"/>
    <s v="Row4"/>
    <s v="768.4"/>
    <n v="3"/>
    <n v="0"/>
    <n v="0"/>
    <n v="4"/>
    <n v="3"/>
    <n v="0"/>
    <n v="0"/>
    <n v="1"/>
    <n v="1"/>
    <s v="768.4"/>
    <s v="76.84"/>
    <n v="76.84"/>
    <s v="691.56"/>
    <n v="1"/>
    <n v="1"/>
    <n v="40"/>
  </r>
  <r>
    <s v="Row129_Row73_Row3_Row203_Row12_Row5_Row0_Row1"/>
    <n v="130"/>
    <s v="RES000130"/>
    <s v="Row145"/>
    <x v="1"/>
    <s v="Row579"/>
    <s v="Row29"/>
    <x v="3"/>
    <s v="Row0"/>
    <s v="Row2"/>
    <s v="1888.8"/>
    <n v="1"/>
    <n v="0"/>
    <n v="0"/>
    <n v="5"/>
    <n v="1"/>
    <n v="0"/>
    <n v="0"/>
    <n v="1"/>
    <n v="1"/>
    <s v="944.4"/>
    <s v="80.22999999999999"/>
    <n v="80.229999999999905"/>
    <s v="864.17"/>
    <n v="1"/>
    <n v="1"/>
    <n v="41"/>
  </r>
  <r>
    <s v="Row130_Row258_Row2_Row144_Row116_Row4_Row0_Row4"/>
    <n v="131"/>
    <s v="RES000131"/>
    <s v="Row548"/>
    <x v="2"/>
    <s v="Row339"/>
    <s v="Row459"/>
    <x v="4"/>
    <s v="Row0"/>
    <s v="Row9"/>
    <s v="4233.42"/>
    <n v="1"/>
    <n v="0"/>
    <n v="0"/>
    <n v="6"/>
    <n v="1"/>
    <n v="0"/>
    <n v="0"/>
    <n v="1"/>
    <n v="1"/>
    <s v="1411.14"/>
    <s v="265.32"/>
    <n v="265.32"/>
    <s v="1145.8200000000002"/>
    <n v="1"/>
    <n v="1"/>
    <n v="42"/>
  </r>
  <r>
    <s v="Row131_Row232_Row0_Row142_Row11_Row3_Row0_Row2"/>
    <n v="132"/>
    <s v="RES000132"/>
    <s v="Row486"/>
    <x v="3"/>
    <s v="Row336"/>
    <s v="Row27"/>
    <x v="5"/>
    <s v="Row0"/>
    <s v="Row3"/>
    <s v="242.72"/>
    <n v="1"/>
    <n v="2"/>
    <n v="1"/>
    <n v="1"/>
    <n v="4"/>
    <n v="0"/>
    <n v="0"/>
    <n v="1"/>
    <n v="1"/>
    <s v="242.72"/>
    <s v="42.71"/>
    <n v="42.71"/>
    <s v="200.01"/>
    <n v="1"/>
    <n v="1"/>
    <n v="43"/>
  </r>
  <r>
    <s v="Row132_Row289_Row1_Row216_Row59_Row1_Row0_Row0"/>
    <n v="133"/>
    <s v="RES000133"/>
    <s v="Row640"/>
    <x v="0"/>
    <s v="Row668"/>
    <s v="Row141"/>
    <x v="6"/>
    <s v="Row0"/>
    <s v="Row0"/>
    <s v="1294.98"/>
    <n v="2"/>
    <n v="0"/>
    <n v="0"/>
    <n v="2"/>
    <n v="2"/>
    <n v="0"/>
    <n v="0"/>
    <n v="1"/>
    <n v="1"/>
    <s v="647.49"/>
    <s v="301.71"/>
    <n v="301.70999999999998"/>
    <s v="345.78000000000003"/>
    <n v="1"/>
    <n v="1"/>
    <n v="44"/>
  </r>
  <r>
    <s v="Row133_Row236_Row3_Row145_Row69_Row0_Row0_Row3"/>
    <n v="134"/>
    <s v="RES000134"/>
    <s v="Row497"/>
    <x v="1"/>
    <s v="Row345"/>
    <s v="Row166"/>
    <x v="0"/>
    <s v="Row0"/>
    <s v="Row4"/>
    <s v="2244.18"/>
    <n v="2"/>
    <n v="0"/>
    <n v="0"/>
    <n v="3"/>
    <n v="2"/>
    <n v="0"/>
    <n v="0"/>
    <n v="1"/>
    <n v="1"/>
    <s v="748.06"/>
    <s v="202.26999999999998"/>
    <n v="202.26999999999899"/>
    <s v="545.79"/>
    <n v="1"/>
    <n v="1"/>
    <n v="45"/>
  </r>
  <r>
    <s v="Row134_Row423_Row2_Row139_Row19_Row2_Row0_Row1"/>
    <n v="135"/>
    <s v="RES000135"/>
    <s v="Row1030"/>
    <x v="2"/>
    <s v="Row329"/>
    <s v="Row45"/>
    <x v="1"/>
    <s v="Row0"/>
    <s v="Row2"/>
    <s v="712.58"/>
    <n v="2"/>
    <n v="0"/>
    <n v="0"/>
    <n v="4"/>
    <n v="2"/>
    <n v="0"/>
    <n v="0"/>
    <n v="1"/>
    <n v="1"/>
    <s v="712.58"/>
    <s v="63.28"/>
    <n v="63.28"/>
    <s v="649.3000000000001"/>
    <n v="1"/>
    <n v="1"/>
    <n v="46"/>
  </r>
  <r>
    <s v="Row135_Row150_Row0_Row146_Row88_Row6_Row0_Row4"/>
    <n v="136"/>
    <s v="RES000136"/>
    <s v="Row299"/>
    <x v="3"/>
    <s v="Row349"/>
    <s v="Row234"/>
    <x v="2"/>
    <s v="Row0"/>
    <s v="Row9"/>
    <s v="2133.44"/>
    <n v="3"/>
    <n v="1"/>
    <n v="0"/>
    <n v="5"/>
    <n v="4"/>
    <n v="0"/>
    <n v="0"/>
    <n v="1"/>
    <n v="1"/>
    <s v="1066.72"/>
    <s v="66.67"/>
    <n v="66.67"/>
    <s v="1000.0500000000001"/>
    <n v="1"/>
    <n v="1"/>
    <n v="47"/>
  </r>
  <r>
    <s v="Row136_Row282_Row1_Row208_Row58_Row5_Row0_Row2"/>
    <n v="137"/>
    <s v="RES000137"/>
    <s v="Row610"/>
    <x v="0"/>
    <s v="Row610"/>
    <s v="Row140"/>
    <x v="3"/>
    <s v="Row0"/>
    <s v="Row3"/>
    <s v="3866.31"/>
    <n v="3"/>
    <n v="0"/>
    <n v="0"/>
    <n v="6"/>
    <n v="3"/>
    <n v="0"/>
    <n v="0"/>
    <n v="1"/>
    <n v="1"/>
    <s v="1288.77"/>
    <s v="251.43"/>
    <n v="251.43"/>
    <s v="1037.34"/>
    <n v="1"/>
    <n v="1"/>
    <n v="48"/>
  </r>
  <r>
    <s v="Row137_Row7_Row3_Row78_Row81_Row4_Row0_Row0"/>
    <n v="138"/>
    <s v="RES000138"/>
    <s v="Row15"/>
    <x v="1"/>
    <s v="Row170"/>
    <s v="Row206"/>
    <x v="4"/>
    <s v="Row0"/>
    <s v="Row0"/>
    <s v="242.95"/>
    <n v="3"/>
    <n v="2"/>
    <n v="0"/>
    <n v="1"/>
    <n v="5"/>
    <n v="0"/>
    <n v="0"/>
    <n v="1"/>
    <n v="1"/>
    <s v="242.95"/>
    <s v="61.02"/>
    <n v="61.02"/>
    <s v="181.92999999999998"/>
    <n v="1"/>
    <n v="1"/>
    <n v="49"/>
  </r>
  <r>
    <s v="Row138_Row396_Row2_Row231_Row124_Row3_Row0_Row3"/>
    <n v="139"/>
    <s v="RES000139"/>
    <s v="Row950"/>
    <x v="2"/>
    <s v="Row851"/>
    <s v="Row587"/>
    <x v="5"/>
    <s v="Row0"/>
    <s v="Row4"/>
    <s v="1275.78"/>
    <n v="3"/>
    <n v="0"/>
    <n v="0"/>
    <n v="2"/>
    <n v="3"/>
    <n v="0"/>
    <n v="0"/>
    <n v="1"/>
    <n v="1"/>
    <s v="637.89"/>
    <s v="255.95"/>
    <n v="255.95"/>
    <s v="381.94"/>
    <n v="1"/>
    <n v="1"/>
    <n v="50"/>
  </r>
  <r>
    <s v="Row139_Row281_Row0_Row29_Row106_Row1_Row0_Row1"/>
    <n v="140"/>
    <s v="RES000140"/>
    <s v="Row604"/>
    <x v="3"/>
    <s v="Row71"/>
    <s v="Row361"/>
    <x v="6"/>
    <s v="Row0"/>
    <s v="Row2"/>
    <s v="2398.2599999999998"/>
    <n v="1"/>
    <n v="1"/>
    <n v="0"/>
    <n v="3"/>
    <n v="2"/>
    <n v="0"/>
    <n v="0"/>
    <n v="1"/>
    <n v="1"/>
    <s v="799.42"/>
    <s v="229.39000000000001"/>
    <n v="229.39"/>
    <s v="570.03"/>
    <n v="1"/>
    <n v="1"/>
    <n v="51"/>
  </r>
  <r>
    <s v="Row140_Row590_Row1_Row273_Row154_Row0_Row2_Row5"/>
    <n v="141"/>
    <s v="RES000141"/>
    <s v="Row1466"/>
    <x v="0"/>
    <s v="Row1396"/>
    <s v="Row1394"/>
    <x v="0"/>
    <s v="Row1350"/>
    <s v="Row1350"/>
    <s v="0"/>
    <n v="1"/>
    <n v="0"/>
    <n v="0"/>
    <n v="4"/>
    <n v="1"/>
    <n v="1"/>
    <n v="0"/>
    <n v="0"/>
    <n v="0"/>
    <s v="858.8"/>
    <n v="0"/>
    <n v="0"/>
    <s v="858.8"/>
    <n v="1"/>
    <n v="0"/>
    <n v="52"/>
  </r>
  <r>
    <s v="Row141_Row512_Row3_Row254_Row143_Row2_Row2_Row5"/>
    <n v="142"/>
    <s v="RES000142"/>
    <s v="Row1366"/>
    <x v="1"/>
    <s v="Row1366"/>
    <s v="Row1366"/>
    <x v="1"/>
    <s v="Row1350"/>
    <s v="Row1350"/>
    <s v="0"/>
    <n v="1"/>
    <n v="0"/>
    <n v="0"/>
    <n v="5"/>
    <n v="1"/>
    <n v="1"/>
    <n v="0"/>
    <n v="0"/>
    <n v="0"/>
    <n v="1130"/>
    <n v="0"/>
    <n v="0"/>
    <n v="1130"/>
    <n v="1"/>
    <n v="0"/>
    <n v="53"/>
  </r>
  <r>
    <s v="Row142_Row519_Row2_Row264_Row149_Row6_Row2_Row5"/>
    <n v="143"/>
    <s v="RES000143"/>
    <s v="Row1374"/>
    <x v="2"/>
    <s v="Row1379"/>
    <s v="Row1379"/>
    <x v="2"/>
    <s v="Row1350"/>
    <s v="Row1350"/>
    <s v="0"/>
    <n v="2"/>
    <n v="0"/>
    <n v="0"/>
    <n v="6"/>
    <n v="2"/>
    <n v="1"/>
    <n v="0"/>
    <n v="0"/>
    <n v="0"/>
    <s v="1423.8"/>
    <n v="0"/>
    <n v="0"/>
    <s v="1423.8"/>
    <n v="1"/>
    <n v="0"/>
    <n v="54"/>
  </r>
  <r>
    <s v="Row143_Row588_Row0_Row272_Row153_Row5_Row3_Row5"/>
    <n v="144"/>
    <s v="RES000144"/>
    <s v="Row1463"/>
    <x v="3"/>
    <s v="Row1395"/>
    <s v="Row1390"/>
    <x v="3"/>
    <s v="Row1351"/>
    <s v="Row1350"/>
    <s v="0"/>
    <n v="2"/>
    <n v="2"/>
    <n v="1"/>
    <n v="1"/>
    <n v="5"/>
    <n v="0"/>
    <n v="1"/>
    <n v="0"/>
    <n v="0"/>
    <s v="223.74"/>
    <n v="0"/>
    <n v="0"/>
    <s v="223.74"/>
    <n v="1"/>
    <n v="0"/>
    <n v="55"/>
  </r>
  <r>
    <s v="Row144_Row342_Row1_Row56_Row41_Row4_Row1_Row2"/>
    <n v="145"/>
    <s v="RES000145"/>
    <s v="Row791"/>
    <x v="0"/>
    <s v="Row127"/>
    <s v="Row95"/>
    <x v="4"/>
    <s v="Row87"/>
    <s v="Row3"/>
    <s v="245.89"/>
    <n v="2"/>
    <n v="0"/>
    <n v="0"/>
    <n v="2"/>
    <n v="2"/>
    <n v="0"/>
    <n v="0"/>
    <n v="0"/>
    <n v="0"/>
    <s v="614.72"/>
    <s v="206.79"/>
    <n v="206.79"/>
    <s v="407.93000000000006"/>
    <n v="1"/>
    <n v="0"/>
    <n v="56"/>
  </r>
  <r>
    <s v="Row145_Row311_Row3_Row195_Row104_Row3_Row1_Row0"/>
    <n v="146"/>
    <s v="RES000146"/>
    <s v="Row692"/>
    <x v="1"/>
    <s v="Row557"/>
    <s v="Row353"/>
    <x v="5"/>
    <s v="Row87"/>
    <s v="Row0"/>
    <s v="305.37"/>
    <n v="3"/>
    <n v="0"/>
    <n v="0"/>
    <n v="3"/>
    <n v="3"/>
    <n v="0"/>
    <n v="0"/>
    <n v="0"/>
    <n v="0"/>
    <s v="763.43"/>
    <s v="85.43"/>
    <n v="85.43"/>
    <n v="678"/>
    <n v="1"/>
    <n v="0"/>
    <n v="57"/>
  </r>
  <r>
    <s v="Row146_Row249_Row2_Row61_Row37_Row1_Row0_Row0"/>
    <n v="147"/>
    <s v="RES000147"/>
    <s v="Row526"/>
    <x v="2"/>
    <s v="Row139"/>
    <s v="Row89"/>
    <x v="6"/>
    <s v="Row0"/>
    <s v="Row0"/>
    <s v="1012.48"/>
    <n v="3"/>
    <n v="0"/>
    <n v="0"/>
    <n v="4"/>
    <n v="3"/>
    <n v="0"/>
    <n v="0"/>
    <n v="1"/>
    <n v="1"/>
    <s v="1012.48"/>
    <s v="63.28"/>
    <n v="63.28"/>
    <s v="949.2"/>
    <n v="1"/>
    <n v="1"/>
    <n v="58"/>
  </r>
  <r>
    <s v="Row147_Row181_Row0_Row136_Row125_Row0_Row0_Row3"/>
    <n v="148"/>
    <s v="RES000148"/>
    <s v="Row362"/>
    <x v="3"/>
    <s v="Row324"/>
    <s v="Row596"/>
    <x v="0"/>
    <s v="Row0"/>
    <s v="Row4"/>
    <s v="2619.34"/>
    <n v="3"/>
    <n v="1"/>
    <n v="0"/>
    <n v="5"/>
    <n v="4"/>
    <n v="0"/>
    <n v="0"/>
    <n v="1"/>
    <n v="1"/>
    <s v="1309.67"/>
    <s v="66.67"/>
    <n v="66.67"/>
    <n v="1243"/>
    <n v="1"/>
    <n v="1"/>
    <n v="59"/>
  </r>
  <r>
    <s v="Row148_Row39_Row1_Row153_Row93_Row2_Row0_Row1"/>
    <n v="149"/>
    <s v="RES000149"/>
    <s v="Row85"/>
    <x v="0"/>
    <s v="Row367"/>
    <s v="Row265"/>
    <x v="1"/>
    <s v="Row0"/>
    <s v="Row2"/>
    <s v="4674.8099999999995"/>
    <n v="3"/>
    <n v="0"/>
    <n v="0"/>
    <n v="6"/>
    <n v="3"/>
    <n v="0"/>
    <n v="0"/>
    <n v="1"/>
    <n v="1"/>
    <s v="1558.27"/>
    <s v="270.07"/>
    <n v="270.07"/>
    <s v="1288.2"/>
    <n v="1"/>
    <n v="1"/>
    <n v="60"/>
  </r>
  <r>
    <s v="Row149_Row13_Row3_Row65_Row105_Row6_Row0_Row4"/>
    <n v="150"/>
    <s v="RES000150"/>
    <s v="Row29"/>
    <x v="1"/>
    <s v="Row145"/>
    <s v="Row358"/>
    <x v="2"/>
    <s v="Row0"/>
    <s v="Row9"/>
    <s v="253.12"/>
    <n v="1"/>
    <n v="2"/>
    <n v="0"/>
    <n v="1"/>
    <n v="3"/>
    <n v="0"/>
    <n v="0"/>
    <n v="1"/>
    <n v="1"/>
    <s v="253.12"/>
    <s v="61.02"/>
    <n v="61.02"/>
    <s v="192.1"/>
    <n v="1"/>
    <n v="1"/>
    <n v="61"/>
  </r>
  <r>
    <s v="Row150_Row373_Row2_Row234_Row18_Row5_Row0_Row2"/>
    <n v="151"/>
    <s v="RES000151"/>
    <s v="Row885"/>
    <x v="2"/>
    <s v="Row885"/>
    <s v="Row42"/>
    <x v="3"/>
    <s v="Row0"/>
    <s v="Row3"/>
    <s v="1498.38"/>
    <n v="1"/>
    <n v="0"/>
    <n v="0"/>
    <n v="2"/>
    <n v="1"/>
    <n v="0"/>
    <n v="0"/>
    <n v="1"/>
    <n v="1"/>
    <s v="749.19"/>
    <s v="274.59"/>
    <n v="274.58999999999997"/>
    <s v="474.6000000000001"/>
    <n v="1"/>
    <n v="1"/>
    <n v="62"/>
  </r>
  <r>
    <s v="Row151_Row63_Row0_Row57_Row22_Row4_Row0_Row0"/>
    <n v="152"/>
    <s v="RES000152"/>
    <s v="Row128"/>
    <x v="3"/>
    <s v="Row128"/>
    <s v="Row56"/>
    <x v="4"/>
    <s v="Row0"/>
    <s v="Row0"/>
    <s v="2902.5299999999997"/>
    <n v="1"/>
    <n v="1"/>
    <n v="0"/>
    <n v="3"/>
    <n v="2"/>
    <n v="0"/>
    <n v="0"/>
    <n v="1"/>
    <n v="1"/>
    <s v="967.51"/>
    <s v="221.71"/>
    <n v="221.71"/>
    <s v="745.8"/>
    <n v="1"/>
    <n v="1"/>
    <n v="63"/>
  </r>
  <r>
    <s v="Row152_Row107_Row1_Row63_Row80_Row3_Row0_Row3"/>
    <n v="153"/>
    <s v="RES000153"/>
    <s v="Row204"/>
    <x v="0"/>
    <s v="Row141"/>
    <s v="Row204"/>
    <x v="5"/>
    <s v="Row0"/>
    <s v="Row4"/>
    <s v="842.08"/>
    <n v="2"/>
    <n v="0"/>
    <n v="0"/>
    <n v="4"/>
    <n v="2"/>
    <n v="0"/>
    <n v="0"/>
    <n v="1"/>
    <n v="1"/>
    <s v="842.08"/>
    <s v="69.16"/>
    <n v="69.16"/>
    <s v="772.9200000000001"/>
    <n v="1"/>
    <n v="1"/>
    <n v="64"/>
  </r>
  <r>
    <s v="Row153_Row157_Row3_Row133_Row28_Row1_Row0_Row1"/>
    <n v="154"/>
    <s v="RES000154"/>
    <s v="Row316"/>
    <x v="1"/>
    <s v="Row316"/>
    <s v="Row74"/>
    <x v="6"/>
    <s v="Row0"/>
    <s v="Row2"/>
    <s v="2420.46"/>
    <n v="2"/>
    <n v="0"/>
    <n v="0"/>
    <n v="5"/>
    <n v="2"/>
    <n v="0"/>
    <n v="0"/>
    <n v="1"/>
    <n v="1"/>
    <s v="1210.23"/>
    <s v="80.22999999999999"/>
    <n v="80.229999999999905"/>
    <n v="1130"/>
    <n v="1"/>
    <n v="1"/>
    <n v="65"/>
  </r>
  <r>
    <s v="Row154_Row20_Row2_Row174_Row36_Row0_Row0_Row4"/>
    <n v="155"/>
    <s v="RES000155"/>
    <s v="Row45"/>
    <x v="2"/>
    <s v="Row432"/>
    <s v="Row88"/>
    <x v="0"/>
    <s v="Row0"/>
    <s v="Row9"/>
    <s v="4868.04"/>
    <n v="2"/>
    <n v="0"/>
    <n v="0"/>
    <n v="6"/>
    <n v="2"/>
    <n v="0"/>
    <n v="0"/>
    <n v="1"/>
    <n v="1"/>
    <s v="1622.68"/>
    <s v="270.07"/>
    <n v="270.07"/>
    <s v="1352.6100000000001"/>
    <n v="1"/>
    <n v="1"/>
    <n v="66"/>
  </r>
  <r>
    <s v="Row155_Row301_Row0_Row128_Row96_Row2_Row0_Row2"/>
    <n v="156"/>
    <s v="RES000156"/>
    <s v="Row664"/>
    <x v="3"/>
    <s v="Row299"/>
    <s v="Row285"/>
    <x v="1"/>
    <s v="Row0"/>
    <s v="Row3"/>
    <s v="296.06"/>
    <n v="3"/>
    <n v="2"/>
    <n v="1"/>
    <n v="1"/>
    <n v="6"/>
    <n v="0"/>
    <n v="0"/>
    <n v="1"/>
    <n v="1"/>
    <s v="296.06"/>
    <s v="47.46"/>
    <n v="47.46"/>
    <s v="248.6"/>
    <n v="1"/>
    <n v="1"/>
    <n v="67"/>
  </r>
  <r>
    <s v="Row156_Row69_Row1_Row207_Row56_Row6_Row0_Row0"/>
    <n v="157"/>
    <s v="RES000157"/>
    <s v="Row140"/>
    <x v="0"/>
    <s v="Row593"/>
    <s v="Row137"/>
    <x v="2"/>
    <s v="Row0"/>
    <s v="Row0"/>
    <s v="1462.22"/>
    <n v="3"/>
    <n v="0"/>
    <n v="0"/>
    <n v="2"/>
    <n v="3"/>
    <n v="0"/>
    <n v="0"/>
    <n v="1"/>
    <n v="1"/>
    <s v="731.11"/>
    <s v="301.71"/>
    <n v="301.70999999999998"/>
    <s v="429.40000000000003"/>
    <n v="1"/>
    <n v="1"/>
    <n v="68"/>
  </r>
  <r>
    <s v="Row157_Row109_Row3_Row6_Row17_Row5_Row0_Row3"/>
    <n v="158"/>
    <s v="RES000158"/>
    <s v="Row206"/>
    <x v="1"/>
    <s v="Row15"/>
    <s v="Row39"/>
    <x v="3"/>
    <s v="Row0"/>
    <s v="Row4"/>
    <s v="2627.58"/>
    <n v="3"/>
    <n v="0"/>
    <n v="0"/>
    <n v="3"/>
    <n v="3"/>
    <n v="0"/>
    <n v="0"/>
    <n v="1"/>
    <n v="1"/>
    <s v="875.86"/>
    <s v="197.85999999999999"/>
    <n v="197.85999999999899"/>
    <n v="678"/>
    <n v="1"/>
    <n v="1"/>
    <n v="69"/>
  </r>
  <r>
    <s v="Row158_Row341_Row2_Row204_Row73_Row4_Row0_Row1"/>
    <n v="159"/>
    <s v="RES000159"/>
    <s v="Row785"/>
    <x v="2"/>
    <s v="Row587"/>
    <s v="Row175"/>
    <x v="4"/>
    <s v="Row0"/>
    <s v="Row2"/>
    <s v="1012.48"/>
    <n v="3"/>
    <n v="0"/>
    <n v="0"/>
    <n v="4"/>
    <n v="3"/>
    <n v="0"/>
    <n v="0"/>
    <n v="1"/>
    <n v="1"/>
    <s v="1012.48"/>
    <s v="63.28"/>
    <n v="63.28"/>
    <s v="949.2"/>
    <n v="1"/>
    <n v="1"/>
    <n v="70"/>
  </r>
  <r>
    <s v="Row159_Row36_Row0_Row33_Row31_Row3_Row0_Row4"/>
    <n v="160"/>
    <s v="RES000160"/>
    <s v="Row80"/>
    <x v="3"/>
    <s v="Row80"/>
    <s v="Row80"/>
    <x v="5"/>
    <s v="Row0"/>
    <s v="Row9"/>
    <s v="2486.22"/>
    <n v="1"/>
    <n v="1"/>
    <n v="0"/>
    <n v="5"/>
    <n v="2"/>
    <n v="0"/>
    <n v="0"/>
    <n v="1"/>
    <n v="1"/>
    <s v="1243.11"/>
    <s v="62.26"/>
    <n v="62.26"/>
    <s v="1180.85"/>
    <n v="1"/>
    <n v="1"/>
    <n v="71"/>
  </r>
  <r>
    <s v="Row160_Row537_Row1_Row284_Row133_Row1_Row2_Row5"/>
    <n v="161"/>
    <s v="RES000161"/>
    <s v="Row1394"/>
    <x v="0"/>
    <s v="Row1415"/>
    <s v="Row1355"/>
    <x v="6"/>
    <s v="Row1350"/>
    <s v="Row1350"/>
    <s v="0"/>
    <n v="1"/>
    <n v="0"/>
    <n v="0"/>
    <n v="6"/>
    <n v="1"/>
    <n v="1"/>
    <n v="0"/>
    <n v="0"/>
    <n v="0"/>
    <s v="406.8"/>
    <n v="0"/>
    <n v="0"/>
    <s v="406.8"/>
    <n v="1"/>
    <n v="0"/>
    <n v="72"/>
  </r>
  <r>
    <s v="Row161_Row551_Row3_Row283_Row132_Row0_Row2_Row5"/>
    <n v="162"/>
    <s v="RES000162"/>
    <s v="Row1409"/>
    <x v="1"/>
    <s v="Row1413"/>
    <s v="Row1354"/>
    <x v="0"/>
    <s v="Row1350"/>
    <s v="Row1350"/>
    <s v="0"/>
    <n v="1"/>
    <n v="2"/>
    <n v="0"/>
    <n v="1"/>
    <n v="3"/>
    <n v="1"/>
    <n v="0"/>
    <n v="0"/>
    <n v="0"/>
    <s v="66.11"/>
    <n v="0"/>
    <n v="0"/>
    <s v="66.11"/>
    <n v="1"/>
    <n v="0"/>
    <n v="73"/>
  </r>
  <r>
    <s v="Row162_Row529_Row2_Row261_Row151_Row2_Row2_Row5"/>
    <n v="163"/>
    <s v="RES000163"/>
    <s v="Row1386"/>
    <x v="2"/>
    <s v="Row1374"/>
    <s v="Row1386"/>
    <x v="1"/>
    <s v="Row1350"/>
    <s v="Row1350"/>
    <s v="0"/>
    <n v="2"/>
    <n v="0"/>
    <n v="0"/>
    <n v="2"/>
    <n v="2"/>
    <n v="1"/>
    <n v="0"/>
    <n v="0"/>
    <n v="0"/>
    <s v="158.2"/>
    <n v="0"/>
    <n v="0"/>
    <s v="158.2"/>
    <n v="1"/>
    <n v="0"/>
    <n v="74"/>
  </r>
  <r>
    <s v="Row163_Row564_Row0_Row288_Row147_Row6_Row3_Row5"/>
    <n v="164"/>
    <s v="RES000164"/>
    <s v="Row1425"/>
    <x v="3"/>
    <s v="Row1425"/>
    <s v="Row1373"/>
    <x v="2"/>
    <s v="Row1351"/>
    <s v="Row1350"/>
    <s v="0"/>
    <n v="2"/>
    <n v="1"/>
    <n v="0"/>
    <n v="3"/>
    <n v="3"/>
    <n v="0"/>
    <n v="1"/>
    <n v="0"/>
    <n v="0"/>
    <s v="254.25"/>
    <n v="0"/>
    <n v="0"/>
    <s v="254.25"/>
    <n v="1"/>
    <n v="0"/>
    <n v="75"/>
  </r>
  <r>
    <s v="Row164_Row204_Row1_Row233_Row70_Row5_Row1_Row0"/>
    <n v="165"/>
    <s v="RES000165"/>
    <s v="Row413"/>
    <x v="0"/>
    <s v="Row881"/>
    <s v="Row167"/>
    <x v="3"/>
    <s v="Row87"/>
    <s v="Row0"/>
    <s v="122.94"/>
    <n v="2"/>
    <n v="0"/>
    <n v="0"/>
    <n v="4"/>
    <n v="2"/>
    <n v="0"/>
    <n v="0"/>
    <n v="0"/>
    <n v="0"/>
    <s v="307.36"/>
    <s v="76.84"/>
    <n v="76.84"/>
    <s v="230.52"/>
    <n v="1"/>
    <n v="0"/>
    <n v="76"/>
  </r>
  <r>
    <s v="Row165_Row333_Row3_Row221_Row74_Row4_Row1_Row3"/>
    <n v="166"/>
    <s v="RES000166"/>
    <s v="Row745"/>
    <x v="1"/>
    <s v="Row692"/>
    <s v="Row178"/>
    <x v="4"/>
    <s v="Row87"/>
    <s v="Row4"/>
    <s v="172.66"/>
    <n v="3"/>
    <n v="0"/>
    <n v="0"/>
    <n v="5"/>
    <n v="3"/>
    <n v="0"/>
    <n v="0"/>
    <n v="0"/>
    <n v="0"/>
    <s v="431.66"/>
    <s v="64.41"/>
    <n v="64.41"/>
    <s v="367.25"/>
    <n v="1"/>
    <n v="0"/>
    <n v="77"/>
  </r>
  <r>
    <s v="Row166_Row71_Row2_Row237_Row50_Row3_Row0_Row3"/>
    <n v="167"/>
    <s v="RES000167"/>
    <s v="Row142"/>
    <x v="2"/>
    <s v="Row913"/>
    <s v="Row118"/>
    <x v="5"/>
    <s v="Row0"/>
    <s v="Row4"/>
    <s v="2229.27"/>
    <n v="3"/>
    <n v="0"/>
    <n v="0"/>
    <n v="6"/>
    <n v="3"/>
    <n v="0"/>
    <n v="0"/>
    <n v="1"/>
    <n v="1"/>
    <s v="743.09"/>
    <s v="268.49"/>
    <n v="268.49"/>
    <s v="474.6"/>
    <n v="1"/>
    <n v="1"/>
    <n v="78"/>
  </r>
  <r>
    <s v="Row167_Row346_Row0_Row151_Row94_Row1_Row0_Row1"/>
    <n v="168"/>
    <s v="RES000168"/>
    <s v="Row802"/>
    <x v="3"/>
    <s v="Row362"/>
    <s v="Row277"/>
    <x v="6"/>
    <s v="Row0"/>
    <s v="Row2"/>
    <s v="132.21"/>
    <n v="3"/>
    <n v="2"/>
    <n v="1"/>
    <n v="1"/>
    <n v="6"/>
    <n v="0"/>
    <n v="0"/>
    <n v="1"/>
    <n v="1"/>
    <s v="132.21"/>
    <s v="47.46"/>
    <n v="47.46"/>
    <s v="84.75"/>
    <n v="1"/>
    <n v="1"/>
    <n v="79"/>
  </r>
  <r>
    <s v="Row168_Row419_Row1_Row35_Row78_Row0_Row0_Row4"/>
    <n v="169"/>
    <s v="RES000169"/>
    <s v="Row1013"/>
    <x v="0"/>
    <s v="Row85"/>
    <s v="Row198"/>
    <x v="0"/>
    <s v="Row0"/>
    <s v="Row9"/>
    <s v="874.62"/>
    <n v="3"/>
    <n v="0"/>
    <n v="0"/>
    <n v="2"/>
    <n v="3"/>
    <n v="0"/>
    <n v="0"/>
    <n v="1"/>
    <n v="1"/>
    <s v="437.31"/>
    <s v="301.71"/>
    <n v="301.70999999999998"/>
    <s v="135.60000000000002"/>
    <n v="1"/>
    <n v="1"/>
    <n v="80"/>
  </r>
  <r>
    <s v="Row169_Row350_Row3_Row12_Row42_Row2_Row0_Row2"/>
    <n v="170"/>
    <s v="RES000170"/>
    <s v="Row811"/>
    <x v="1"/>
    <s v="Row29"/>
    <s v="Row96"/>
    <x v="1"/>
    <s v="Row0"/>
    <s v="Row3"/>
    <s v="1234.8000000000002"/>
    <n v="1"/>
    <n v="0"/>
    <n v="0"/>
    <n v="3"/>
    <n v="1"/>
    <n v="0"/>
    <n v="0"/>
    <n v="1"/>
    <n v="1"/>
    <s v="411.6"/>
    <s v="202.26999999999998"/>
    <n v="202.26999999999899"/>
    <s v="209.33000000000004"/>
    <n v="1"/>
    <n v="1"/>
    <n v="81"/>
  </r>
  <r>
    <s v="Row170_Row19_Row2_Row236_Row65_Row6_Row0_Row0"/>
    <n v="171"/>
    <s v="RES000171"/>
    <s v="Row42"/>
    <x v="2"/>
    <s v="Row907"/>
    <s v="Row150"/>
    <x v="2"/>
    <s v="Row0"/>
    <s v="Row0"/>
    <s v="348.04"/>
    <n v="1"/>
    <n v="0"/>
    <n v="0"/>
    <n v="4"/>
    <n v="1"/>
    <n v="0"/>
    <n v="0"/>
    <n v="1"/>
    <n v="1"/>
    <s v="348.04"/>
    <s v="63.28"/>
    <n v="63.28"/>
    <s v="284.76"/>
    <n v="1"/>
    <n v="1"/>
    <n v="82"/>
  </r>
  <r>
    <s v="Row171_Row118_Row0_Row105_Row0_Row5_Row0_Row3"/>
    <n v="172"/>
    <s v="RES000172"/>
    <s v="Row226"/>
    <x v="3"/>
    <s v="Row226"/>
    <s v="Row0"/>
    <x v="3"/>
    <s v="Row0"/>
    <s v="Row4"/>
    <s v="980.84"/>
    <n v="1"/>
    <n v="1"/>
    <n v="0"/>
    <n v="5"/>
    <n v="2"/>
    <n v="0"/>
    <n v="0"/>
    <n v="1"/>
    <n v="1"/>
    <s v="490.42"/>
    <s v="66.67"/>
    <n v="66.67"/>
    <s v="423.75"/>
    <n v="1"/>
    <n v="1"/>
    <n v="83"/>
  </r>
  <r>
    <s v="Row172_Row22_Row1_Row21_Row20_Row4_Row0_Row1"/>
    <n v="173"/>
    <s v="RES000173"/>
    <s v="Row48"/>
    <x v="0"/>
    <s v="Row48"/>
    <s v="Row48"/>
    <x v="4"/>
    <s v="Row0"/>
    <s v="Row2"/>
    <s v="2012.31"/>
    <n v="2"/>
    <n v="0"/>
    <n v="0"/>
    <n v="6"/>
    <n v="2"/>
    <n v="0"/>
    <n v="0"/>
    <n v="1"/>
    <n v="1"/>
    <s v="670.77"/>
    <s v="263.97"/>
    <n v="263.97000000000003"/>
    <s v="406.79999999999995"/>
    <n v="1"/>
    <n v="1"/>
    <n v="84"/>
  </r>
  <r>
    <s v="Row173_Row33_Row3_Row134_Row68_Row3_Row0_Row4"/>
    <n v="174"/>
    <s v="RES000174"/>
    <s v="Row74"/>
    <x v="1"/>
    <s v="Row320"/>
    <s v="Row162"/>
    <x v="5"/>
    <s v="Row0"/>
    <s v="Row9"/>
    <s v="128.37"/>
    <n v="2"/>
    <n v="2"/>
    <n v="0"/>
    <n v="1"/>
    <n v="4"/>
    <n v="0"/>
    <n v="0"/>
    <n v="1"/>
    <n v="1"/>
    <s v="128.37"/>
    <s v="54.92"/>
    <n v="54.92"/>
    <s v="73.45"/>
    <n v="1"/>
    <n v="1"/>
    <n v="85"/>
  </r>
  <r>
    <s v="Row174_Row51_Row2_Row19_Row26_Row1_Row0_Row2"/>
    <n v="175"/>
    <s v="RES000175"/>
    <s v="Row105"/>
    <x v="2"/>
    <s v="Row45"/>
    <s v="Row65"/>
    <x v="6"/>
    <s v="Row0"/>
    <s v="Row3"/>
    <s v="849.76"/>
    <n v="2"/>
    <n v="0"/>
    <n v="0"/>
    <n v="2"/>
    <n v="2"/>
    <n v="0"/>
    <n v="0"/>
    <n v="1"/>
    <n v="1"/>
    <s v="424.88"/>
    <s v="274.59"/>
    <n v="274.58999999999997"/>
    <s v="150.29000000000002"/>
    <n v="1"/>
    <n v="1"/>
    <n v="86"/>
  </r>
  <r>
    <s v="Row175_Row10_Row0_Row9_Row9_Row0_Row0_Row0"/>
    <n v="176"/>
    <s v="RES000176"/>
    <s v="Row23"/>
    <x v="3"/>
    <s v="Row23"/>
    <s v="Row23"/>
    <x v="0"/>
    <s v="Row0"/>
    <s v="Row0"/>
    <s v="1450.92"/>
    <n v="3"/>
    <n v="1"/>
    <n v="0"/>
    <n v="3"/>
    <n v="4"/>
    <n v="0"/>
    <n v="0"/>
    <n v="1"/>
    <n v="1"/>
    <s v="483.64"/>
    <s v="229.39000000000001"/>
    <n v="229.39"/>
    <s v="254.24999999999997"/>
    <n v="1"/>
    <n v="1"/>
    <n v="87"/>
  </r>
  <r>
    <s v="Row176_Row340_Row1_Row62_Row98_Row2_Row0_Row3"/>
    <n v="177"/>
    <s v="RES000177"/>
    <s v="Row781"/>
    <x v="0"/>
    <s v="Row140"/>
    <s v="Row319"/>
    <x v="1"/>
    <s v="Row0"/>
    <s v="Row4"/>
    <s v="348.04"/>
    <n v="3"/>
    <n v="0"/>
    <n v="0"/>
    <n v="4"/>
    <n v="3"/>
    <n v="0"/>
    <n v="0"/>
    <n v="1"/>
    <n v="1"/>
    <s v="348.04"/>
    <s v="76.84"/>
    <n v="76.84"/>
    <s v="271.20000000000005"/>
    <n v="1"/>
    <n v="1"/>
    <n v="88"/>
  </r>
  <r>
    <s v="Row177_Row225_Row3_Row98_Row23_Row6_Row0_Row1"/>
    <n v="178"/>
    <s v="RES000178"/>
    <s v="Row464"/>
    <x v="1"/>
    <s v="Row206"/>
    <s v="Row59"/>
    <x v="2"/>
    <s v="Row0"/>
    <s v="Row2"/>
    <s v="894.96"/>
    <n v="3"/>
    <n v="0"/>
    <n v="0"/>
    <n v="5"/>
    <n v="3"/>
    <n v="0"/>
    <n v="0"/>
    <n v="1"/>
    <n v="1"/>
    <s v="447.48"/>
    <s v="80.22999999999999"/>
    <n v="80.229999999999905"/>
    <s v="367.25"/>
    <n v="1"/>
    <n v="1"/>
    <n v="89"/>
  </r>
  <r>
    <s v="Row178_Row92_Row2_Row131_Row30_Row5_Row0_Row4"/>
    <n v="179"/>
    <s v="RES000179"/>
    <s v="Row175"/>
    <x v="2"/>
    <s v="Row309"/>
    <s v="Row78"/>
    <x v="3"/>
    <s v="Row0"/>
    <s v="Row9"/>
    <s v="2171.9700000000003"/>
    <n v="3"/>
    <n v="0"/>
    <n v="0"/>
    <n v="6"/>
    <n v="3"/>
    <n v="0"/>
    <n v="0"/>
    <n v="1"/>
    <n v="1"/>
    <s v="723.99"/>
    <s v="249.39000000000001"/>
    <n v="249.39"/>
    <s v="474.6"/>
    <n v="1"/>
    <n v="1"/>
    <n v="90"/>
  </r>
  <r>
    <s v="Row179_Row176_Row0_Row147_Row103_Row4_Row0_Row2"/>
    <n v="180"/>
    <s v="RES000180"/>
    <s v="Row351"/>
    <x v="3"/>
    <s v="Row351"/>
    <s v="Row351"/>
    <x v="4"/>
    <s v="Row0"/>
    <s v="Row3"/>
    <s v="119.5"/>
    <n v="1"/>
    <n v="2"/>
    <n v="1"/>
    <n v="1"/>
    <n v="4"/>
    <n v="0"/>
    <n v="0"/>
    <n v="1"/>
    <n v="1"/>
    <s v="119.5"/>
    <s v="47.46"/>
    <n v="47.46"/>
    <s v="72.03999999999999"/>
    <n v="1"/>
    <n v="1"/>
    <n v="1"/>
  </r>
  <r>
    <s v="Row180_Row501_Row1_Row271_Row157_Row3_Row2_Row5"/>
    <n v="181"/>
    <s v="RES000181"/>
    <s v="Row1355"/>
    <x v="0"/>
    <s v="Row1394"/>
    <s v="Row1410"/>
    <x v="5"/>
    <s v="Row1350"/>
    <s v="Row1350"/>
    <s v="0"/>
    <n v="1"/>
    <n v="0"/>
    <n v="0"/>
    <n v="2"/>
    <n v="1"/>
    <n v="1"/>
    <n v="0"/>
    <n v="0"/>
    <n v="0"/>
    <s v="135.6"/>
    <n v="0"/>
    <n v="0"/>
    <s v="135.6"/>
    <n v="1"/>
    <n v="0"/>
    <n v="2"/>
  </r>
  <r>
    <s v="Row181_Row500_Row3_Row277_Row141_Row1_Row2_Row5"/>
    <n v="182"/>
    <s v="RES000182"/>
    <s v="Row1354"/>
    <x v="1"/>
    <s v="Row1400"/>
    <s v="Row1364"/>
    <x v="6"/>
    <s v="Row1350"/>
    <s v="Row1350"/>
    <s v="0"/>
    <n v="1"/>
    <n v="0"/>
    <n v="0"/>
    <n v="3"/>
    <n v="1"/>
    <n v="1"/>
    <n v="0"/>
    <n v="0"/>
    <n v="0"/>
    <s v="220.35"/>
    <n v="0"/>
    <n v="0"/>
    <s v="220.35"/>
    <n v="1"/>
    <n v="0"/>
    <n v="3"/>
  </r>
  <r>
    <s v="Row182_Row569_Row2_Row293_Row152_Row0_Row2_Row5"/>
    <n v="183"/>
    <s v="RES000183"/>
    <s v="Row1430"/>
    <x v="2"/>
    <s v="Row1438"/>
    <s v="Row1389"/>
    <x v="0"/>
    <s v="Row1350"/>
    <s v="Row1350"/>
    <s v="0"/>
    <n v="2"/>
    <n v="0"/>
    <n v="0"/>
    <n v="4"/>
    <n v="2"/>
    <n v="1"/>
    <n v="0"/>
    <n v="0"/>
    <n v="0"/>
    <s v="316.4"/>
    <n v="0"/>
    <n v="0"/>
    <s v="316.4"/>
    <n v="1"/>
    <n v="0"/>
    <n v="4"/>
  </r>
  <r>
    <s v="Row183_Row568_Row0_Row279_Row131_Row2_Row3_Row5"/>
    <n v="184"/>
    <s v="RES000184"/>
    <s v="Row1429"/>
    <x v="3"/>
    <s v="Row1403"/>
    <s v="Row1353"/>
    <x v="1"/>
    <s v="Row1351"/>
    <s v="Row1350"/>
    <s v="0"/>
    <n v="2"/>
    <n v="1"/>
    <n v="0"/>
    <n v="5"/>
    <n v="3"/>
    <n v="0"/>
    <n v="1"/>
    <n v="0"/>
    <n v="0"/>
    <s v="423.75"/>
    <n v="0"/>
    <n v="0"/>
    <s v="423.75"/>
    <n v="1"/>
    <n v="0"/>
    <n v="5"/>
  </r>
  <r>
    <s v="Row184_Row405_Row1_Row167_Row108_Row6_Row1_Row3"/>
    <n v="185"/>
    <s v="RES000185"/>
    <s v="Row975"/>
    <x v="0"/>
    <s v="Row413"/>
    <s v="Row372"/>
    <x v="2"/>
    <s v="Row87"/>
    <s v="Row4"/>
    <s v="163.62"/>
    <n v="2"/>
    <n v="0"/>
    <n v="0"/>
    <n v="6"/>
    <n v="2"/>
    <n v="0"/>
    <n v="0"/>
    <n v="0"/>
    <n v="0"/>
    <s v="409.06"/>
    <s v="22.6"/>
    <n v="22.6"/>
    <s v="386.46"/>
    <n v="1"/>
    <n v="0"/>
    <n v="6"/>
  </r>
  <r>
    <s v="Row185_Row72_Row3_Row64_Row60_Row5_Row1_Row1"/>
    <n v="186"/>
    <s v="RES000186"/>
    <s v="Row144"/>
    <x v="1"/>
    <s v="Row144"/>
    <s v="Row144"/>
    <x v="3"/>
    <s v="Row87"/>
    <s v="Row2"/>
    <s v="53.79"/>
    <n v="3"/>
    <n v="2"/>
    <n v="0"/>
    <n v="1"/>
    <n v="5"/>
    <n v="0"/>
    <n v="0"/>
    <n v="0"/>
    <n v="0"/>
    <s v="134.47"/>
    <s v="61.02"/>
    <n v="61.02"/>
    <s v="73.44999999999999"/>
    <n v="1"/>
    <n v="0"/>
    <n v="7"/>
  </r>
  <r>
    <s v="Row186_Row200_Row2_Row50_Row64_Row4_Row0_Row1"/>
    <n v="187"/>
    <s v="RES000187"/>
    <s v="Row407"/>
    <x v="2"/>
    <s v="Row118"/>
    <s v="Row149"/>
    <x v="4"/>
    <s v="Row0"/>
    <s v="Row2"/>
    <s v="847.96"/>
    <n v="3"/>
    <n v="0"/>
    <n v="0"/>
    <n v="2"/>
    <n v="3"/>
    <n v="0"/>
    <n v="0"/>
    <n v="1"/>
    <n v="1"/>
    <s v="423.98"/>
    <s v="265.78"/>
    <n v="265.77999999999997"/>
    <s v="158.20000000000005"/>
    <n v="1"/>
    <n v="1"/>
    <n v="8"/>
  </r>
  <r>
    <s v="Row187_Row188_Row0_Row125_Row32_Row3_Row0_Row4"/>
    <n v="188"/>
    <s v="RES000188"/>
    <s v="Row377"/>
    <x v="3"/>
    <s v="Row277"/>
    <s v="Row82"/>
    <x v="5"/>
    <s v="Row0"/>
    <s v="Row9"/>
    <s v="1424.49"/>
    <n v="3"/>
    <n v="1"/>
    <n v="0"/>
    <n v="3"/>
    <n v="4"/>
    <n v="0"/>
    <n v="0"/>
    <n v="1"/>
    <n v="1"/>
    <s v="474.83"/>
    <s v="220.58"/>
    <n v="220.58"/>
    <s v="254.24999999999997"/>
    <n v="1"/>
    <n v="1"/>
    <n v="9"/>
  </r>
  <r>
    <s v="Row188_Row23_Row1_Row22_Row21_Row1_Row0_Row2"/>
    <n v="189"/>
    <s v="RES000189"/>
    <s v="Row51"/>
    <x v="0"/>
    <s v="Row51"/>
    <s v="Row51"/>
    <x v="6"/>
    <s v="Row0"/>
    <s v="Row3"/>
    <s v="320.92"/>
    <n v="3"/>
    <n v="0"/>
    <n v="0"/>
    <n v="4"/>
    <n v="3"/>
    <n v="0"/>
    <n v="0"/>
    <n v="1"/>
    <n v="1"/>
    <s v="320.92"/>
    <s v="76.84"/>
    <n v="76.84"/>
    <s v="244.08"/>
    <n v="1"/>
    <n v="1"/>
    <n v="10"/>
  </r>
  <r>
    <s v="Row189_Row294_Row3_Row186_Row5_Row0_Row0_Row0"/>
    <n v="190"/>
    <s v="RES000190"/>
    <s v="Row650"/>
    <x v="1"/>
    <s v="Row514"/>
    <s v="Row9"/>
    <x v="0"/>
    <s v="Row0"/>
    <s v="Row0"/>
    <s v="858.24"/>
    <n v="1"/>
    <n v="0"/>
    <n v="0"/>
    <n v="5"/>
    <n v="1"/>
    <n v="0"/>
    <n v="0"/>
    <n v="1"/>
    <n v="1"/>
    <s v="429.12"/>
    <s v="80.22999999999999"/>
    <n v="80.229999999999905"/>
    <s v="348.89"/>
    <n v="1"/>
    <n v="1"/>
    <n v="11"/>
  </r>
  <r>
    <s v="Row190_Row77_Row2_Row18_Row100_Row2_Row0_Row3"/>
    <n v="191"/>
    <s v="RES000191"/>
    <s v="Row150"/>
    <x v="2"/>
    <s v="Row42"/>
    <s v="Row332"/>
    <x v="1"/>
    <s v="Row0"/>
    <s v="Row4"/>
    <s v="2234.0099999999998"/>
    <n v="1"/>
    <n v="0"/>
    <n v="0"/>
    <n v="6"/>
    <n v="1"/>
    <n v="0"/>
    <n v="0"/>
    <n v="1"/>
    <n v="1"/>
    <s v="744.67"/>
    <s v="270.07"/>
    <n v="270.07"/>
    <s v="474.59999999999997"/>
    <n v="1"/>
    <n v="1"/>
    <n v="12"/>
  </r>
  <r>
    <s v="Row191_Row352_Row0_Row206_Row122_Row6_Row0_Row1"/>
    <n v="192"/>
    <s v="RES000192"/>
    <s v="Row816"/>
    <x v="3"/>
    <s v="Row592"/>
    <s v="Row555"/>
    <x v="2"/>
    <s v="Row0"/>
    <s v="Row2"/>
    <s v="132.21"/>
    <n v="1"/>
    <n v="2"/>
    <n v="1"/>
    <n v="1"/>
    <n v="4"/>
    <n v="0"/>
    <n v="0"/>
    <n v="1"/>
    <n v="1"/>
    <s v="132.21"/>
    <s v="47.46"/>
    <n v="47.46"/>
    <s v="84.75"/>
    <n v="1"/>
    <n v="1"/>
    <n v="13"/>
  </r>
  <r>
    <s v="Row192_Row263_Row1_Row123_Row123_Row5_Row0_Row4"/>
    <n v="193"/>
    <s v="RES000193"/>
    <s v="Row564"/>
    <x v="0"/>
    <s v="Row272"/>
    <s v="Row559"/>
    <x v="3"/>
    <s v="Row0"/>
    <s v="Row9"/>
    <s v="874.62"/>
    <n v="2"/>
    <n v="0"/>
    <n v="0"/>
    <n v="2"/>
    <n v="2"/>
    <n v="0"/>
    <n v="0"/>
    <n v="1"/>
    <n v="1"/>
    <s v="437.31"/>
    <s v="301.71"/>
    <n v="301.70999999999998"/>
    <s v="135.60000000000002"/>
    <n v="1"/>
    <n v="1"/>
    <n v="14"/>
  </r>
  <r>
    <s v="Row193_Row83_Row3_Row30_Row89_Row4_Row0_Row2"/>
    <n v="194"/>
    <s v="RES000194"/>
    <s v="Row162"/>
    <x v="1"/>
    <s v="Row74"/>
    <s v="Row247"/>
    <x v="4"/>
    <s v="Row0"/>
    <s v="Row3"/>
    <s v="1248.8700000000001"/>
    <n v="2"/>
    <n v="0"/>
    <n v="0"/>
    <n v="3"/>
    <n v="2"/>
    <n v="0"/>
    <n v="0"/>
    <n v="1"/>
    <n v="1"/>
    <s v="416.29"/>
    <s v="195.94"/>
    <n v="195.94"/>
    <s v="220.35000000000002"/>
    <n v="1"/>
    <n v="1"/>
    <n v="15"/>
  </r>
  <r>
    <s v="Row194_Row30_Row2_Row132_Row43_Row3_Row0_Row0"/>
    <n v="195"/>
    <s v="RES000195"/>
    <s v="Row65"/>
    <x v="2"/>
    <s v="Row315"/>
    <s v="Row98"/>
    <x v="5"/>
    <s v="Row0"/>
    <s v="Row0"/>
    <s v="325.89"/>
    <n v="2"/>
    <n v="0"/>
    <n v="0"/>
    <n v="4"/>
    <n v="2"/>
    <n v="0"/>
    <n v="0"/>
    <n v="1"/>
    <n v="1"/>
    <s v="325.89"/>
    <s v="56.95"/>
    <n v="56.95"/>
    <s v="268.94"/>
    <n v="1"/>
    <n v="1"/>
    <n v="16"/>
  </r>
  <r>
    <s v="Row195_Row105_Row0_Row71_Row79_Row1_Row0_Row3"/>
    <n v="196"/>
    <s v="RES000196"/>
    <s v="Row201"/>
    <x v="3"/>
    <s v="Row152"/>
    <s v="Row202"/>
    <x v="6"/>
    <s v="Row0"/>
    <s v="Row4"/>
    <s v="980.84"/>
    <n v="3"/>
    <n v="1"/>
    <n v="0"/>
    <n v="5"/>
    <n v="4"/>
    <n v="0"/>
    <n v="0"/>
    <n v="1"/>
    <n v="1"/>
    <s v="490.42"/>
    <s v="66.67"/>
    <n v="66.67"/>
    <s v="423.75"/>
    <n v="1"/>
    <n v="1"/>
    <n v="17"/>
  </r>
  <r>
    <s v="Row196_Row415_Row1_Row173_Row33_Row0_Row0_Row1"/>
    <n v="197"/>
    <s v="RES000197"/>
    <s v="Row1003"/>
    <x v="0"/>
    <s v="Row429"/>
    <s v="Row84"/>
    <x v="0"/>
    <s v="Row0"/>
    <s v="Row2"/>
    <s v="2030.6100000000001"/>
    <n v="3"/>
    <n v="0"/>
    <n v="0"/>
    <n v="6"/>
    <n v="3"/>
    <n v="0"/>
    <n v="0"/>
    <n v="1"/>
    <n v="1"/>
    <s v="676.87"/>
    <s v="270.07"/>
    <n v="270.07"/>
    <s v="406.8"/>
    <n v="1"/>
    <n v="1"/>
    <n v="18"/>
  </r>
  <r>
    <s v="Row197_Row461_Row3_Row121_Row107_Row2_Row0_Row4"/>
    <n v="198"/>
    <s v="RES000198"/>
    <s v="Row1204"/>
    <x v="1"/>
    <s v="Row261"/>
    <s v="Row363"/>
    <x v="1"/>
    <s v="Row0"/>
    <s v="Row9"/>
    <s v="127.13"/>
    <n v="3"/>
    <n v="2"/>
    <n v="0"/>
    <n v="1"/>
    <n v="5"/>
    <n v="0"/>
    <n v="0"/>
    <n v="1"/>
    <n v="1"/>
    <s v="127.13"/>
    <s v="61.02"/>
    <n v="61.02"/>
    <s v="66.10999999999999"/>
    <n v="1"/>
    <n v="1"/>
    <n v="19"/>
  </r>
  <r>
    <s v="Row198_Row216_Row2_Row82_Row3_Row6_Row0_Row2"/>
    <n v="199"/>
    <s v="RES000199"/>
    <s v="Row441"/>
    <x v="2"/>
    <s v="Row175"/>
    <s v="Row4"/>
    <x v="2"/>
    <s v="Row0"/>
    <s v="Row3"/>
    <s v="865.58"/>
    <n v="3"/>
    <n v="0"/>
    <n v="0"/>
    <n v="2"/>
    <n v="3"/>
    <n v="0"/>
    <n v="0"/>
    <n v="1"/>
    <n v="1"/>
    <s v="432.79"/>
    <s v="274.59"/>
    <n v="274.58999999999997"/>
    <s v="158.20000000000005"/>
    <n v="1"/>
    <n v="1"/>
    <n v="20"/>
  </r>
  <r>
    <s v="Row199_Row374_Row0_Row163_Row87_Row5_Row0_Row0"/>
    <n v="200"/>
    <s v="RES000200"/>
    <s v="Row887"/>
    <x v="3"/>
    <s v="Row399"/>
    <s v="Row230"/>
    <x v="3"/>
    <s v="Row0"/>
    <s v="Row0"/>
    <s v="1393.47"/>
    <n v="1"/>
    <n v="1"/>
    <n v="0"/>
    <n v="3"/>
    <n v="2"/>
    <n v="0"/>
    <n v="0"/>
    <n v="1"/>
    <n v="1"/>
    <s v="464.49"/>
    <s v="222.95000000000002"/>
    <n v="222.95"/>
    <s v="241.54"/>
    <n v="1"/>
    <n v="1"/>
    <n v="21"/>
  </r>
  <r>
    <s v="Row200_Row576_Row1_Row245_Row128_Row4_Row2_Row5"/>
    <n v="201"/>
    <s v="RES000201"/>
    <s v="Row1443"/>
    <x v="0"/>
    <s v="Row1355"/>
    <s v="Row1350"/>
    <x v="4"/>
    <s v="Row1350"/>
    <s v="Row1350"/>
    <s v="0"/>
    <n v="1"/>
    <n v="0"/>
    <n v="0"/>
    <n v="4"/>
    <n v="1"/>
    <n v="1"/>
    <n v="0"/>
    <n v="0"/>
    <n v="0"/>
    <s v="411.32"/>
    <n v="0"/>
    <n v="0"/>
    <s v="411.32"/>
    <n v="1"/>
    <n v="0"/>
    <n v="22"/>
  </r>
  <r>
    <s v="Row201_Row559_Row3_Row244_Row158_Row3_Row2_Row5"/>
    <n v="202"/>
    <s v="RES000202"/>
    <s v="Row1418"/>
    <x v="1"/>
    <s v="Row1354"/>
    <s v="Row1436"/>
    <x v="5"/>
    <s v="Row1350"/>
    <s v="Row1350"/>
    <s v="0"/>
    <n v="1"/>
    <n v="0"/>
    <n v="0"/>
    <n v="5"/>
    <n v="1"/>
    <n v="1"/>
    <n v="0"/>
    <n v="0"/>
    <n v="0"/>
    <s v="548.05"/>
    <n v="0"/>
    <n v="0"/>
    <s v="548.05"/>
    <n v="1"/>
    <n v="0"/>
    <n v="23"/>
  </r>
  <r>
    <s v="Row202_Row535_Row2_Row289_Row140_Row1_Row2_Row5"/>
    <n v="203"/>
    <s v="RES000203"/>
    <s v="Row1392"/>
    <x v="2"/>
    <s v="Row1430"/>
    <s v="Row1362"/>
    <x v="6"/>
    <s v="Row1350"/>
    <s v="Row1350"/>
    <s v="0"/>
    <n v="2"/>
    <n v="0"/>
    <n v="0"/>
    <n v="6"/>
    <n v="2"/>
    <n v="1"/>
    <n v="0"/>
    <n v="0"/>
    <n v="0"/>
    <s v="698.34"/>
    <n v="0"/>
    <n v="0"/>
    <s v="698.34"/>
    <n v="1"/>
    <n v="0"/>
    <n v="24"/>
  </r>
  <r>
    <s v="Row203_Row578_Row0_Row257_Row146_Row0_Row3_Row5"/>
    <n v="204"/>
    <s v="RES000204"/>
    <s v="Row1446"/>
    <x v="3"/>
    <s v="Row1369"/>
    <s v="Row1372"/>
    <x v="0"/>
    <s v="Row1351"/>
    <s v="Row1350"/>
    <s v="0"/>
    <n v="2"/>
    <n v="2"/>
    <n v="1"/>
    <n v="1"/>
    <n v="5"/>
    <n v="0"/>
    <n v="1"/>
    <n v="0"/>
    <n v="0"/>
    <s v="123.17"/>
    <n v="0"/>
    <n v="0"/>
    <s v="123.17"/>
    <n v="1"/>
    <n v="0"/>
    <n v="25"/>
  </r>
  <r>
    <s v="Row204_Row377_Row1_Row155_Row111_Row2_Row1_Row1"/>
    <n v="205"/>
    <s v="RES000205"/>
    <s v="Row894"/>
    <x v="0"/>
    <s v="Row372"/>
    <s v="Row384"/>
    <x v="1"/>
    <s v="Row87"/>
    <s v="Row2"/>
    <s v="160.87"/>
    <n v="2"/>
    <n v="0"/>
    <n v="0"/>
    <n v="2"/>
    <n v="2"/>
    <n v="0"/>
    <n v="0"/>
    <n v="0"/>
    <n v="0"/>
    <s v="402.17"/>
    <s v="206.79"/>
    <n v="206.79"/>
    <s v="195.38000000000002"/>
    <n v="1"/>
    <n v="0"/>
    <n v="26"/>
  </r>
  <r>
    <s v="Row205_Row170_Row3_Row196_Row38_Row6_Row1_Row4"/>
    <n v="206"/>
    <s v="RES000206"/>
    <s v="Row338"/>
    <x v="1"/>
    <s v="Row558"/>
    <s v="Row91"/>
    <x v="2"/>
    <s v="Row87"/>
    <s v="Row9"/>
    <s v="169.5"/>
    <n v="3"/>
    <n v="0"/>
    <n v="0"/>
    <n v="3"/>
    <n v="3"/>
    <n v="0"/>
    <n v="0"/>
    <n v="0"/>
    <n v="0"/>
    <s v="423.75"/>
    <s v="94.92"/>
    <n v="94.92"/>
    <s v="328.83"/>
    <n v="1"/>
    <n v="0"/>
    <n v="27"/>
  </r>
  <r>
    <s v="Row206_Row272_Row2_Row97_Row82_Row5_Row0_Row4"/>
    <n v="207"/>
    <s v="RES000207"/>
    <s v="Row588"/>
    <x v="2"/>
    <s v="Row205"/>
    <s v="Row210"/>
    <x v="3"/>
    <s v="Row0"/>
    <s v="Row9"/>
    <s v="482.28"/>
    <n v="3"/>
    <n v="0"/>
    <n v="0"/>
    <n v="4"/>
    <n v="3"/>
    <n v="0"/>
    <n v="0"/>
    <n v="1"/>
    <n v="1"/>
    <s v="482.28"/>
    <s v="63.28"/>
    <n v="63.28"/>
    <n v="419"/>
    <n v="1"/>
    <n v="1"/>
    <n v="28"/>
  </r>
  <r>
    <s v="Row207_Row283_Row0_Row34_Row63_Row4_Row0_Row2"/>
    <n v="208"/>
    <s v="RES000208"/>
    <s v="Row613"/>
    <x v="3"/>
    <s v="Row82"/>
    <s v="Row148"/>
    <x v="4"/>
    <s v="Row0"/>
    <s v="Row3"/>
    <s v="1360.52"/>
    <n v="3"/>
    <n v="1"/>
    <n v="0"/>
    <n v="5"/>
    <n v="4"/>
    <n v="0"/>
    <n v="0"/>
    <n v="1"/>
    <n v="1"/>
    <s v="680.26"/>
    <s v="64.41"/>
    <n v="64.41"/>
    <s v="615.85"/>
    <n v="1"/>
    <n v="1"/>
    <n v="29"/>
  </r>
  <r>
    <s v="Row208_Row124_Row1_Row111_Row16_Row3_Row0_Row0"/>
    <n v="209"/>
    <s v="RES000209"/>
    <s v="Row238"/>
    <x v="0"/>
    <s v="Row238"/>
    <s v="Row37"/>
    <x v="5"/>
    <s v="Row0"/>
    <s v="Row0"/>
    <s v="2654.37"/>
    <n v="3"/>
    <n v="0"/>
    <n v="0"/>
    <n v="6"/>
    <n v="3"/>
    <n v="0"/>
    <n v="0"/>
    <n v="1"/>
    <n v="1"/>
    <s v="884.79"/>
    <s v="267.81"/>
    <n v="267.81"/>
    <s v="616.98"/>
    <n v="1"/>
    <n v="1"/>
    <n v="30"/>
  </r>
  <r>
    <s v="Row209_Row194_Row3_Row160_Row48_Row1_Row0_Row3"/>
    <n v="210"/>
    <s v="RES000210"/>
    <s v="Row391"/>
    <x v="1"/>
    <s v="Row391"/>
    <s v="Row111"/>
    <x v="6"/>
    <s v="Row0"/>
    <s v="Row4"/>
    <s v="154.19"/>
    <n v="1"/>
    <n v="2"/>
    <n v="0"/>
    <n v="1"/>
    <n v="3"/>
    <n v="0"/>
    <n v="0"/>
    <n v="1"/>
    <n v="1"/>
    <s v="154.19"/>
    <s v="61.02"/>
    <n v="61.02"/>
    <s v="93.16999999999999"/>
    <n v="1"/>
    <n v="1"/>
    <n v="31"/>
  </r>
  <r>
    <s v="Row210_Row262_Row2_Row70_Row2_Row0_Row0_Row1"/>
    <n v="211"/>
    <s v="RES000211"/>
    <s v="Row563"/>
    <x v="2"/>
    <s v="Row150"/>
    <s v="Row3"/>
    <x v="0"/>
    <s v="Row0"/>
    <s v="Row2"/>
    <s v="1014.74"/>
    <n v="1"/>
    <n v="0"/>
    <n v="0"/>
    <n v="2"/>
    <n v="1"/>
    <n v="0"/>
    <n v="0"/>
    <n v="1"/>
    <n v="1"/>
    <s v="507.37"/>
    <s v="274.59"/>
    <n v="274.58999999999997"/>
    <s v="232.78000000000003"/>
    <n v="1"/>
    <n v="1"/>
    <n v="32"/>
  </r>
  <r>
    <s v="Row211_Row260_Row0_Row222_Row84_Row2_Row0_Row4"/>
    <n v="212"/>
    <s v="RES000212"/>
    <s v="Row555"/>
    <x v="3"/>
    <s v="Row724"/>
    <s v="Row218"/>
    <x v="1"/>
    <s v="Row0"/>
    <s v="Row9"/>
    <s v="1796.6999999999998"/>
    <n v="1"/>
    <n v="1"/>
    <n v="0"/>
    <n v="3"/>
    <n v="2"/>
    <n v="0"/>
    <n v="0"/>
    <n v="1"/>
    <n v="1"/>
    <s v="598.9"/>
    <s v="229.39000000000001"/>
    <n v="229.39"/>
    <s v="369.51"/>
    <n v="1"/>
    <n v="1"/>
    <n v="33"/>
  </r>
  <r>
    <s v="Row212_Row479_Row1_Row198_Row72_Row6_Row0_Row2"/>
    <n v="213"/>
    <s v="RES000213"/>
    <s v="Row1271"/>
    <x v="0"/>
    <s v="Row564"/>
    <s v="Row172"/>
    <x v="2"/>
    <s v="Row0"/>
    <s v="Row3"/>
    <s v="488.16"/>
    <n v="2"/>
    <n v="0"/>
    <n v="0"/>
    <n v="4"/>
    <n v="2"/>
    <n v="0"/>
    <n v="0"/>
    <n v="1"/>
    <n v="1"/>
    <s v="488.16"/>
    <s v="76.84"/>
    <n v="76.84"/>
    <s v="411.32000000000005"/>
    <n v="1"/>
    <n v="1"/>
    <n v="34"/>
  </r>
  <r>
    <s v="Row213_Row110_Row3_Row74_Row40_Row5_Row0_Row0"/>
    <n v="214"/>
    <s v="RES000214"/>
    <s v="Row208"/>
    <x v="1"/>
    <s v="Row162"/>
    <s v="Row94"/>
    <x v="3"/>
    <s v="Row0"/>
    <s v="Row0"/>
    <s v="1256.56"/>
    <n v="2"/>
    <n v="0"/>
    <n v="0"/>
    <n v="5"/>
    <n v="2"/>
    <n v="0"/>
    <n v="0"/>
    <n v="1"/>
    <n v="1"/>
    <s v="628.28"/>
    <s v="80.22999999999999"/>
    <n v="80.229999999999905"/>
    <s v="548.05"/>
    <n v="1"/>
    <n v="1"/>
    <n v="35"/>
  </r>
  <r>
    <s v="Row214_Row407_Row2_Row27_Row27_Row4_Row0_Row3"/>
    <n v="215"/>
    <s v="RES000215"/>
    <s v="Row979"/>
    <x v="2"/>
    <s v="Row65"/>
    <s v="Row68"/>
    <x v="4"/>
    <s v="Row0"/>
    <s v="Row4"/>
    <s v="2786.2200000000003"/>
    <n v="2"/>
    <n v="0"/>
    <n v="0"/>
    <n v="6"/>
    <n v="2"/>
    <n v="0"/>
    <n v="0"/>
    <n v="1"/>
    <n v="1"/>
    <s v="928.74"/>
    <s v="265.32"/>
    <n v="265.32"/>
    <s v="663.4200000000001"/>
    <n v="1"/>
    <n v="1"/>
    <n v="36"/>
  </r>
  <r>
    <s v="Row215_Row179_Row0_Row95_Row99_Row3_Row0_Row1"/>
    <n v="216"/>
    <s v="RES000216"/>
    <s v="Row354"/>
    <x v="3"/>
    <s v="Row201"/>
    <s v="Row327"/>
    <x v="5"/>
    <s v="Row0"/>
    <s v="Row2"/>
    <s v="153.56"/>
    <n v="3"/>
    <n v="2"/>
    <n v="1"/>
    <n v="1"/>
    <n v="6"/>
    <n v="0"/>
    <n v="0"/>
    <n v="1"/>
    <n v="1"/>
    <s v="153.56"/>
    <s v="42.71"/>
    <n v="42.71"/>
    <s v="110.85"/>
    <n v="1"/>
    <n v="1"/>
    <n v="37"/>
  </r>
  <r>
    <s v="Row216_Row169_Row1_Row225_Row29_Row1_Row0_Row4"/>
    <n v="217"/>
    <s v="RES000217"/>
    <s v="Row337"/>
    <x v="0"/>
    <s v="Row773"/>
    <s v="Row77"/>
    <x v="6"/>
    <s v="Row0"/>
    <s v="Row9"/>
    <s v="1014.74"/>
    <n v="3"/>
    <n v="0"/>
    <n v="0"/>
    <n v="2"/>
    <n v="3"/>
    <n v="0"/>
    <n v="0"/>
    <n v="1"/>
    <n v="1"/>
    <s v="507.37"/>
    <s v="301.71"/>
    <n v="301.70999999999998"/>
    <s v="205.66000000000003"/>
    <n v="1"/>
    <n v="1"/>
    <n v="38"/>
  </r>
  <r>
    <s v="Row217_Row182_Row3_Row183_Row66_Row0_Row0_Row2"/>
    <n v="218"/>
    <s v="RES000218"/>
    <s v="Row363"/>
    <x v="1"/>
    <s v="Row499"/>
    <s v="Row154"/>
    <x v="0"/>
    <s v="Row0"/>
    <s v="Row3"/>
    <s v="1593.3000000000002"/>
    <n v="3"/>
    <n v="0"/>
    <n v="0"/>
    <n v="3"/>
    <n v="3"/>
    <n v="0"/>
    <n v="0"/>
    <n v="1"/>
    <n v="1"/>
    <s v="531.1"/>
    <s v="202.26999999999998"/>
    <n v="202.26999999999899"/>
    <s v="328.83000000000004"/>
    <n v="1"/>
    <n v="1"/>
    <n v="39"/>
  </r>
  <r>
    <s v="Row218_Row3_Row2_Row104_Row6_Row2_Row0_Row0"/>
    <n v="219"/>
    <s v="RES000219"/>
    <s v="Row4"/>
    <x v="2"/>
    <s v="Row225"/>
    <s v="Row12"/>
    <x v="1"/>
    <s v="Row0"/>
    <s v="Row0"/>
    <s v="528.84"/>
    <n v="3"/>
    <n v="0"/>
    <n v="0"/>
    <n v="4"/>
    <n v="3"/>
    <n v="0"/>
    <n v="0"/>
    <n v="1"/>
    <n v="1"/>
    <s v="528.84"/>
    <s v="63.28"/>
    <n v="63.28"/>
    <s v="465.56000000000006"/>
    <n v="1"/>
    <n v="1"/>
    <n v="40"/>
  </r>
  <r>
    <s v="Row219_Row49_Row0_Row45_Row44_Row6_Row0_Row3"/>
    <n v="220"/>
    <s v="RES000220"/>
    <s v="Row101"/>
    <x v="3"/>
    <s v="Row101"/>
    <s v="Row101"/>
    <x v="2"/>
    <s v="Row0"/>
    <s v="Row4"/>
    <s v="1303.46"/>
    <n v="1"/>
    <n v="1"/>
    <n v="0"/>
    <n v="5"/>
    <n v="2"/>
    <n v="0"/>
    <n v="0"/>
    <n v="1"/>
    <n v="1"/>
    <s v="651.73"/>
    <s v="66.67"/>
    <n v="66.67"/>
    <s v="585.0600000000001"/>
    <n v="1"/>
    <n v="1"/>
    <n v="41"/>
  </r>
  <r>
    <s v="Row220_Row536_Row1_Row286_Row139_Row5_Row2_Row5"/>
    <n v="221"/>
    <s v="RES000221"/>
    <s v="Row1393"/>
    <x v="0"/>
    <s v="Row1421"/>
    <s v="Row1361"/>
    <x v="3"/>
    <s v="Row1350"/>
    <s v="Row1350"/>
    <s v="0"/>
    <n v="1"/>
    <n v="0"/>
    <n v="0"/>
    <n v="6"/>
    <n v="1"/>
    <n v="1"/>
    <n v="0"/>
    <n v="0"/>
    <n v="0"/>
    <s v="616.98"/>
    <n v="0"/>
    <n v="0"/>
    <s v="616.98"/>
    <n v="1"/>
    <n v="0"/>
    <n v="42"/>
  </r>
  <r>
    <s v="Row221_Row585_Row3_Row285_Row138_Row4_Row2_Row5"/>
    <n v="222"/>
    <s v="RES000222"/>
    <s v="Row1455"/>
    <x v="1"/>
    <s v="Row1418"/>
    <s v="Row1360"/>
    <x v="4"/>
    <s v="Row1350"/>
    <s v="Row1350"/>
    <s v="0"/>
    <n v="1"/>
    <n v="2"/>
    <n v="0"/>
    <n v="1"/>
    <n v="3"/>
    <n v="1"/>
    <n v="0"/>
    <n v="0"/>
    <n v="0"/>
    <s v="109.61"/>
    <n v="0"/>
    <n v="0"/>
    <s v="109.61"/>
    <n v="1"/>
    <n v="0"/>
    <n v="43"/>
  </r>
  <r>
    <s v="Row222_Row534_Row2_Row251_Row156_Row3_Row2_Row5"/>
    <n v="223"/>
    <s v="RES000223"/>
    <s v="Row1391"/>
    <x v="2"/>
    <s v="Row1362"/>
    <s v="Row1408"/>
    <x v="5"/>
    <s v="Row1350"/>
    <s v="Row1350"/>
    <s v="0"/>
    <n v="2"/>
    <n v="0"/>
    <n v="0"/>
    <n v="2"/>
    <n v="2"/>
    <n v="1"/>
    <n v="0"/>
    <n v="0"/>
    <n v="0"/>
    <s v="232.78"/>
    <n v="0"/>
    <n v="0"/>
    <s v="232.78"/>
    <n v="1"/>
    <n v="0"/>
    <n v="44"/>
  </r>
  <r>
    <s v="Row223_Row587_Row0_Row259_Row134_Row1_Row3_Row5"/>
    <n v="224"/>
    <s v="RES000224"/>
    <s v="Row1459"/>
    <x v="3"/>
    <s v="Row1372"/>
    <s v="Row1356"/>
    <x v="6"/>
    <s v="Row1351"/>
    <s v="Row1350"/>
    <s v="0"/>
    <n v="2"/>
    <n v="1"/>
    <n v="0"/>
    <n v="3"/>
    <n v="3"/>
    <n v="0"/>
    <n v="1"/>
    <n v="0"/>
    <n v="0"/>
    <s v="369.51"/>
    <n v="0"/>
    <n v="0"/>
    <s v="369.51"/>
    <n v="1"/>
    <n v="0"/>
    <n v="45"/>
  </r>
  <r>
    <s v="Row224_Row265_Row1_Row159_Row62_Row0_Row1_Row4"/>
    <n v="225"/>
    <s v="RES000225"/>
    <s v="Row567"/>
    <x v="0"/>
    <s v="Row384"/>
    <s v="Row146"/>
    <x v="0"/>
    <s v="Row87"/>
    <s v="Row9"/>
    <s v="170.58"/>
    <n v="2"/>
    <n v="0"/>
    <n v="0"/>
    <n v="4"/>
    <n v="2"/>
    <n v="0"/>
    <n v="0"/>
    <n v="0"/>
    <n v="0"/>
    <s v="426.46"/>
    <s v="76.84"/>
    <n v="76.84"/>
    <s v="349.62"/>
    <n v="1"/>
    <n v="0"/>
    <n v="46"/>
  </r>
  <r>
    <s v="Row225_Row193_Row3_Row118_Row112_Row2_Row1_Row2"/>
    <n v="226"/>
    <s v="RES000226"/>
    <s v="Row390"/>
    <x v="1"/>
    <s v="Row258"/>
    <s v="Row390"/>
    <x v="1"/>
    <s v="Row87"/>
    <s v="Row3"/>
    <s v="244.98"/>
    <n v="3"/>
    <n v="0"/>
    <n v="0"/>
    <n v="5"/>
    <n v="3"/>
    <n v="0"/>
    <n v="0"/>
    <n v="0"/>
    <n v="0"/>
    <s v="612.46"/>
    <s v="64.41"/>
    <n v="64.41"/>
    <s v="548.0500000000001"/>
    <n v="1"/>
    <n v="0"/>
    <n v="47"/>
  </r>
  <r>
    <s v="Row226_Row111_Row2_Row185_Row91_Row6_Row0_Row2"/>
    <n v="227"/>
    <s v="RES000227"/>
    <s v="Row210"/>
    <x v="2"/>
    <s v="Row511"/>
    <s v="Row255"/>
    <x v="2"/>
    <s v="Row0"/>
    <s v="Row3"/>
    <s v="2905.23"/>
    <n v="3"/>
    <n v="0"/>
    <n v="0"/>
    <n v="6"/>
    <n v="3"/>
    <n v="0"/>
    <n v="0"/>
    <n v="1"/>
    <n v="1"/>
    <s v="968.41"/>
    <s v="270.07"/>
    <n v="270.07"/>
    <s v="698.3399999999999"/>
    <n v="1"/>
    <n v="1"/>
    <n v="48"/>
  </r>
  <r>
    <s v="Row227_Row80_Row0_Row68_Row67_Row5_Row0_Row0"/>
    <n v="228"/>
    <s v="RES000228"/>
    <s v="Row156"/>
    <x v="3"/>
    <s v="Row148"/>
    <s v="Row156"/>
    <x v="3"/>
    <s v="Row0"/>
    <s v="Row0"/>
    <s v="170.63"/>
    <n v="3"/>
    <n v="2"/>
    <n v="1"/>
    <n v="1"/>
    <n v="6"/>
    <n v="0"/>
    <n v="0"/>
    <n v="1"/>
    <n v="1"/>
    <s v="170.63"/>
    <s v="47.46"/>
    <n v="47.46"/>
    <s v="123.16999999999999"/>
    <n v="1"/>
    <n v="1"/>
    <n v="49"/>
  </r>
  <r>
    <s v="Row228_Row299_Row1_Row16_Row117_Row4_Row0_Row3"/>
    <n v="229"/>
    <s v="RES000229"/>
    <s v="Row660"/>
    <x v="0"/>
    <s v="Row37"/>
    <s v="Row492"/>
    <x v="4"/>
    <s v="Row0"/>
    <s v="Row4"/>
    <s v="995.76"/>
    <n v="3"/>
    <n v="0"/>
    <n v="0"/>
    <n v="2"/>
    <n v="3"/>
    <n v="0"/>
    <n v="0"/>
    <n v="1"/>
    <n v="1"/>
    <s v="497.88"/>
    <s v="292.22"/>
    <n v="292.22000000000003"/>
    <s v="205.65999999999997"/>
    <n v="1"/>
    <n v="1"/>
    <n v="50"/>
  </r>
  <r>
    <s v="Row229_Row84_Row3_Row178_Row4_Row3_Row0_Row1"/>
    <n v="230"/>
    <s v="RES000230"/>
    <s v="Row164"/>
    <x v="1"/>
    <s v="Row451"/>
    <s v="Row7"/>
    <x v="5"/>
    <s v="Row0"/>
    <s v="Row2"/>
    <s v="1515.51"/>
    <n v="1"/>
    <n v="0"/>
    <n v="0"/>
    <n v="3"/>
    <n v="1"/>
    <n v="0"/>
    <n v="0"/>
    <n v="1"/>
    <n v="1"/>
    <s v="505.17"/>
    <s v="192.78"/>
    <n v="192.78"/>
    <s v="312.39"/>
    <n v="1"/>
    <n v="1"/>
    <n v="51"/>
  </r>
  <r>
    <s v="Row230_Row323_Row2_Row164_Row49_Row1_Row0_Row4"/>
    <n v="231"/>
    <s v="RES000231"/>
    <s v="Row722"/>
    <x v="2"/>
    <s v="Row406"/>
    <s v="Row116"/>
    <x v="6"/>
    <s v="Row0"/>
    <s v="Row9"/>
    <s v="528.84"/>
    <n v="1"/>
    <n v="0"/>
    <n v="0"/>
    <n v="4"/>
    <n v="1"/>
    <n v="0"/>
    <n v="0"/>
    <n v="1"/>
    <n v="1"/>
    <s v="528.84"/>
    <s v="63.28"/>
    <n v="63.28"/>
    <s v="465.56000000000006"/>
    <n v="1"/>
    <n v="1"/>
    <n v="52"/>
  </r>
  <r>
    <s v="Row231_Row222_Row0_Row102_Row120_Row0_Row0_Row2"/>
    <n v="232"/>
    <s v="RES000232"/>
    <s v="Row456"/>
    <x v="3"/>
    <s v="Row218"/>
    <s v="Row539"/>
    <x v="0"/>
    <s v="Row0"/>
    <s v="Row3"/>
    <s v="1365.04"/>
    <n v="1"/>
    <n v="1"/>
    <n v="0"/>
    <n v="5"/>
    <n v="2"/>
    <n v="0"/>
    <n v="0"/>
    <n v="1"/>
    <n v="1"/>
    <s v="682.52"/>
    <s v="66.67"/>
    <n v="66.67"/>
    <s v="615.85"/>
    <n v="1"/>
    <n v="1"/>
    <n v="53"/>
  </r>
  <r>
    <s v="Row232_Row90_Row1_Row168_Row92_Row2_Row0_Row0"/>
    <n v="233"/>
    <s v="RES000233"/>
    <s v="Row172"/>
    <x v="0"/>
    <s v="Row417"/>
    <s v="Row259"/>
    <x v="1"/>
    <s v="Row0"/>
    <s v="Row0"/>
    <s v="2661.1499999999996"/>
    <n v="2"/>
    <n v="0"/>
    <n v="0"/>
    <n v="6"/>
    <n v="2"/>
    <n v="0"/>
    <n v="0"/>
    <n v="1"/>
    <n v="1"/>
    <s v="887.05"/>
    <s v="270.07"/>
    <n v="270.07"/>
    <s v="616.98"/>
    <n v="1"/>
    <n v="1"/>
    <n v="54"/>
  </r>
  <r>
    <s v="Row233_Row158_Row3_Row58_Row8_Row6_Row0_Row3"/>
    <n v="234"/>
    <s v="RES000234"/>
    <s v="Row318"/>
    <x v="1"/>
    <s v="Row131"/>
    <s v="Row18"/>
    <x v="2"/>
    <s v="Row0"/>
    <s v="Row4"/>
    <s v="159.67"/>
    <n v="2"/>
    <n v="2"/>
    <n v="0"/>
    <n v="1"/>
    <n v="4"/>
    <n v="0"/>
    <n v="0"/>
    <n v="1"/>
    <n v="1"/>
    <s v="159.67"/>
    <s v="61.02"/>
    <n v="61.02"/>
    <s v="98.64999999999998"/>
    <n v="1"/>
    <n v="1"/>
    <n v="55"/>
  </r>
  <r>
    <s v="Row234_Row174_Row2_Row187_Row51_Row5_Row0_Row1"/>
    <n v="235"/>
    <s v="RES000235"/>
    <s v="Row348"/>
    <x v="2"/>
    <s v="Row516"/>
    <s v="Row121"/>
    <x v="3"/>
    <s v="Row0"/>
    <s v="Row2"/>
    <s v="991.46"/>
    <n v="2"/>
    <n v="0"/>
    <n v="0"/>
    <n v="2"/>
    <n v="2"/>
    <n v="0"/>
    <n v="0"/>
    <n v="1"/>
    <n v="1"/>
    <s v="495.73"/>
    <s v="274.59"/>
    <n v="274.58999999999997"/>
    <s v="221.14000000000004"/>
    <n v="1"/>
    <n v="1"/>
    <n v="56"/>
  </r>
  <r>
    <s v="Row235_Row219_Row0_Row149_Row15_Row4_Row0_Row4"/>
    <n v="236"/>
    <s v="RES000236"/>
    <s v="Row449"/>
    <x v="3"/>
    <s v="Row354"/>
    <s v="Row35"/>
    <x v="4"/>
    <s v="Row0"/>
    <s v="Row9"/>
    <s v="1773.66"/>
    <n v="3"/>
    <n v="1"/>
    <n v="0"/>
    <n v="3"/>
    <n v="4"/>
    <n v="0"/>
    <n v="0"/>
    <n v="1"/>
    <n v="1"/>
    <s v="591.22"/>
    <s v="221.71"/>
    <n v="221.71"/>
    <s v="369.51"/>
    <n v="1"/>
    <n v="1"/>
    <n v="57"/>
  </r>
  <r>
    <s v="Row236_Row447_Row1_Row143_Row110_Row3_Row0_Row2"/>
    <n v="237"/>
    <s v="RES000237"/>
    <s v="Row1145"/>
    <x v="0"/>
    <s v="Row337"/>
    <s v="Row383"/>
    <x v="5"/>
    <s v="Row0"/>
    <s v="Row3"/>
    <s v="480.48"/>
    <n v="3"/>
    <n v="0"/>
    <n v="0"/>
    <n v="4"/>
    <n v="3"/>
    <n v="0"/>
    <n v="0"/>
    <n v="1"/>
    <n v="1"/>
    <s v="480.48"/>
    <s v="69.16"/>
    <n v="69.16"/>
    <s v="411.32000000000005"/>
    <n v="1"/>
    <n v="1"/>
    <n v="58"/>
  </r>
  <r>
    <s v="Row237_Row295_Row3_Row152_Row115_Row1_Row0_Row0"/>
    <n v="238"/>
    <s v="RES000238"/>
    <s v="Row652"/>
    <x v="1"/>
    <s v="Row363"/>
    <s v="Row454"/>
    <x v="6"/>
    <s v="Row0"/>
    <s v="Row0"/>
    <s v="1256.56"/>
    <n v="3"/>
    <n v="0"/>
    <n v="0"/>
    <n v="5"/>
    <n v="3"/>
    <n v="0"/>
    <n v="0"/>
    <n v="1"/>
    <n v="1"/>
    <s v="628.28"/>
    <s v="80.22999999999999"/>
    <n v="80.229999999999905"/>
    <s v="548.05"/>
    <n v="1"/>
    <n v="1"/>
    <n v="59"/>
  </r>
  <r>
    <s v="Row238_Row428_Row2_Row3_Row97_Row0_Row0_Row3"/>
    <n v="239"/>
    <s v="RES000239"/>
    <s v="Row1055"/>
    <x v="2"/>
    <s v="Row4"/>
    <s v="Row296"/>
    <x v="0"/>
    <s v="Row0"/>
    <s v="Row4"/>
    <s v="2905.23"/>
    <n v="3"/>
    <n v="0"/>
    <n v="0"/>
    <n v="6"/>
    <n v="3"/>
    <n v="0"/>
    <n v="0"/>
    <n v="1"/>
    <n v="1"/>
    <s v="968.41"/>
    <s v="270.07"/>
    <n v="270.07"/>
    <s v="698.3399999999999"/>
    <n v="1"/>
    <n v="1"/>
    <n v="60"/>
  </r>
  <r>
    <s v="Row239_Row189_Row0_Row107_Row45_Row2_Row0_Row1"/>
    <n v="240"/>
    <s v="RES000240"/>
    <s v="Row380"/>
    <x v="3"/>
    <s v="Row230"/>
    <s v="Row103"/>
    <x v="1"/>
    <s v="Row0"/>
    <s v="Row2"/>
    <s v="152.15"/>
    <n v="1"/>
    <n v="2"/>
    <n v="1"/>
    <n v="1"/>
    <n v="4"/>
    <n v="0"/>
    <n v="0"/>
    <n v="1"/>
    <n v="1"/>
    <s v="152.15"/>
    <s v="47.46"/>
    <n v="47.46"/>
    <s v="104.69"/>
    <n v="1"/>
    <n v="1"/>
    <n v="61"/>
  </r>
  <r>
    <s v="Row240_Row511_Row1_Row250_Row142_Row6_Row2_Row5"/>
    <n v="241"/>
    <s v="RES000241"/>
    <s v="Row1365"/>
    <x v="0"/>
    <s v="Row1361"/>
    <s v="Row1365"/>
    <x v="2"/>
    <s v="Row1350"/>
    <s v="Row1350"/>
    <s v="0"/>
    <n v="1"/>
    <n v="0"/>
    <n v="0"/>
    <n v="2"/>
    <n v="1"/>
    <n v="1"/>
    <n v="0"/>
    <n v="0"/>
    <n v="0"/>
    <s v="205.66"/>
    <n v="0"/>
    <n v="0"/>
    <s v="205.66"/>
    <n v="1"/>
    <n v="0"/>
    <n v="62"/>
  </r>
  <r>
    <s v="Row241_Row596_Row3_Row294_Row136_Row5_Row2_Row5"/>
    <n v="242"/>
    <s v="RES000242"/>
    <s v="Row1476"/>
    <x v="1"/>
    <s v="Row1441"/>
    <s v="Row1358"/>
    <x v="3"/>
    <s v="Row1350"/>
    <s v="Row1350"/>
    <s v="0"/>
    <n v="1"/>
    <n v="0"/>
    <n v="0"/>
    <n v="3"/>
    <n v="1"/>
    <n v="1"/>
    <n v="0"/>
    <n v="0"/>
    <n v="0"/>
    <s v="328.83"/>
    <n v="0"/>
    <n v="0"/>
    <s v="328.83"/>
    <n v="1"/>
    <n v="0"/>
    <n v="63"/>
  </r>
  <r>
    <s v="Row242_Row526_Row2_Row266_Row137_Row4_Row2_Row5"/>
    <n v="243"/>
    <s v="RES000243"/>
    <s v="Row1382"/>
    <x v="2"/>
    <s v="Row1382"/>
    <s v="Row1359"/>
    <x v="4"/>
    <s v="Row1350"/>
    <s v="Row1350"/>
    <s v="0"/>
    <n v="2"/>
    <n v="0"/>
    <n v="0"/>
    <n v="4"/>
    <n v="2"/>
    <n v="1"/>
    <n v="0"/>
    <n v="0"/>
    <n v="0"/>
    <n v="419"/>
    <n v="0"/>
    <n v="0"/>
    <n v="419"/>
    <n v="1"/>
    <n v="0"/>
    <n v="64"/>
  </r>
  <r>
    <s v="Row243_Row571_Row0_Row291_Row155_Row3_Row3_Row5"/>
    <n v="244"/>
    <s v="RES000244"/>
    <s v="Row1434"/>
    <x v="3"/>
    <s v="Row1434"/>
    <s v="Row1404"/>
    <x v="5"/>
    <s v="Row1351"/>
    <s v="Row1350"/>
    <s v="0"/>
    <n v="2"/>
    <n v="1"/>
    <n v="0"/>
    <n v="5"/>
    <n v="3"/>
    <n v="0"/>
    <n v="1"/>
    <n v="0"/>
    <n v="0"/>
    <s v="615.85"/>
    <n v="0"/>
    <n v="0"/>
    <s v="615.85"/>
    <n v="1"/>
    <n v="0"/>
    <n v="65"/>
  </r>
  <r>
    <s v="Row244_Row224_Row1_Row66_Row121_Row1_Row1_Row2"/>
    <n v="245"/>
    <s v="RES000245"/>
    <s v="Row462"/>
    <x v="0"/>
    <s v="Row146"/>
    <s v="Row547"/>
    <x v="6"/>
    <s v="Row87"/>
    <s v="Row3"/>
    <s v="243.49"/>
    <n v="2"/>
    <n v="0"/>
    <n v="0"/>
    <n v="6"/>
    <n v="2"/>
    <n v="0"/>
    <n v="0"/>
    <n v="0"/>
    <n v="0"/>
    <s v="608.73"/>
    <s v="22.6"/>
    <n v="22.6"/>
    <s v="586.13"/>
    <n v="1"/>
    <n v="0"/>
    <n v="66"/>
  </r>
  <r>
    <s v="Row245_Row59_Row3_Row53_Row52_Row0_Row1_Row0"/>
    <n v="246"/>
    <s v="RES000246"/>
    <s v="Row122"/>
    <x v="1"/>
    <s v="Row122"/>
    <s v="Row122"/>
    <x v="0"/>
    <s v="Row87"/>
    <s v="Row0"/>
    <s v="68.25"/>
    <n v="3"/>
    <n v="2"/>
    <n v="0"/>
    <n v="1"/>
    <n v="5"/>
    <n v="0"/>
    <n v="0"/>
    <n v="0"/>
    <n v="0"/>
    <s v="170.63"/>
    <s v="61.02"/>
    <n v="61.02"/>
    <s v="109.60999999999999"/>
    <n v="1"/>
    <n v="0"/>
    <n v="67"/>
  </r>
  <r>
    <s v="Row246_Row293_Row2_Row99_Row77_Row2_Row0_Row0"/>
    <n v="247"/>
    <s v="RES000247"/>
    <s v="Row649"/>
    <x v="2"/>
    <s v="Row210"/>
    <s v="Row197"/>
    <x v="1"/>
    <s v="Row0"/>
    <s v="Row0"/>
    <s v="1014.74"/>
    <n v="3"/>
    <n v="0"/>
    <n v="0"/>
    <n v="2"/>
    <n v="3"/>
    <n v="0"/>
    <n v="0"/>
    <n v="1"/>
    <n v="1"/>
    <s v="507.37"/>
    <s v="274.59"/>
    <n v="274.58999999999997"/>
    <s v="232.78000000000003"/>
    <n v="1"/>
    <n v="1"/>
    <n v="68"/>
  </r>
  <r>
    <s v="Row247_Row126_Row0_Row202_Row109_Row6_Row0_Row3"/>
    <n v="248"/>
    <s v="RES000248"/>
    <s v="Row244"/>
    <x v="3"/>
    <s v="Row576"/>
    <s v="Row375"/>
    <x v="2"/>
    <s v="Row0"/>
    <s v="Row4"/>
    <s v="1796.6999999999998"/>
    <n v="3"/>
    <n v="1"/>
    <n v="0"/>
    <n v="3"/>
    <n v="4"/>
    <n v="0"/>
    <n v="0"/>
    <n v="1"/>
    <n v="1"/>
    <s v="598.9"/>
    <s v="229.39000000000001"/>
    <n v="229.39"/>
    <s v="369.51"/>
    <n v="1"/>
    <n v="1"/>
    <n v="69"/>
  </r>
  <r>
    <s v="Row248_Row121_Row1_Row109_Row86_Row5_Row0_Row1"/>
    <n v="249"/>
    <s v="RES000249"/>
    <s v="Row232"/>
    <x v="0"/>
    <s v="Row232"/>
    <s v="Row228"/>
    <x v="3"/>
    <s v="Row0"/>
    <s v="Row2"/>
    <s v="488.16"/>
    <n v="3"/>
    <n v="0"/>
    <n v="0"/>
    <n v="4"/>
    <n v="3"/>
    <n v="0"/>
    <n v="0"/>
    <n v="1"/>
    <n v="1"/>
    <s v="488.16"/>
    <s v="76.84"/>
    <n v="76.84"/>
    <s v="411.32000000000005"/>
    <n v="1"/>
    <n v="1"/>
    <n v="70"/>
  </r>
  <r>
    <s v="Row249_Row177_Row3_Row75_Row90_Row4_Row0_Row4"/>
    <n v="250"/>
    <s v="RES000250"/>
    <s v="Row352"/>
    <x v="1"/>
    <s v="Row164"/>
    <s v="Row254"/>
    <x v="4"/>
    <s v="Row0"/>
    <s v="Row9"/>
    <s v="1198.6"/>
    <n v="1"/>
    <n v="0"/>
    <n v="0"/>
    <n v="5"/>
    <n v="1"/>
    <n v="0"/>
    <n v="0"/>
    <n v="1"/>
    <n v="1"/>
    <s v="599.3"/>
    <s v="78.64999999999999"/>
    <n v="78.649999999999906"/>
    <s v="520.65"/>
    <n v="1"/>
    <n v="1"/>
    <n v="71"/>
  </r>
  <r>
    <s v="Row250_Row273_Row2_Row101_Row39_Row3_Row0_Row2"/>
    <n v="251"/>
    <s v="RES000251"/>
    <s v="Row589"/>
    <x v="2"/>
    <s v="Row215"/>
    <s v="Row92"/>
    <x v="5"/>
    <s v="Row0"/>
    <s v="Row3"/>
    <s v="2900.4900000000002"/>
    <n v="1"/>
    <n v="0"/>
    <n v="0"/>
    <n v="6"/>
    <n v="1"/>
    <n v="0"/>
    <n v="0"/>
    <n v="1"/>
    <n v="1"/>
    <s v="966.83"/>
    <s v="268.49"/>
    <n v="268.49"/>
    <s v="698.34"/>
    <n v="1"/>
    <n v="1"/>
    <n v="72"/>
  </r>
  <r>
    <s v="Row251_Row210_Row0_Row171_Row101_Row1_Row0_Row0"/>
    <n v="252"/>
    <s v="RES000252"/>
    <s v="Row426"/>
    <x v="3"/>
    <s v="Row426"/>
    <s v="Row336"/>
    <x v="6"/>
    <s v="Row0"/>
    <s v="Row0"/>
    <s v="158.31"/>
    <n v="1"/>
    <n v="2"/>
    <n v="1"/>
    <n v="1"/>
    <n v="4"/>
    <n v="0"/>
    <n v="0"/>
    <n v="1"/>
    <n v="1"/>
    <s v="158.31"/>
    <s v="47.46"/>
    <n v="47.46"/>
    <s v="110.85"/>
    <n v="1"/>
    <n v="1"/>
    <n v="73"/>
  </r>
  <r>
    <s v="Row252_Row326_Row1_Row80_Row113_Row0_Row0_Row3"/>
    <n v="253"/>
    <s v="RES000253"/>
    <s v="Row729"/>
    <x v="0"/>
    <s v="Row172"/>
    <s v="Row420"/>
    <x v="0"/>
    <s v="Row0"/>
    <s v="Row4"/>
    <s v="1014.74"/>
    <n v="2"/>
    <n v="0"/>
    <n v="0"/>
    <n v="2"/>
    <n v="2"/>
    <n v="0"/>
    <n v="0"/>
    <n v="1"/>
    <n v="1"/>
    <s v="507.37"/>
    <s v="301.71"/>
    <n v="301.70999999999998"/>
    <s v="205.66000000000003"/>
    <n v="1"/>
    <n v="1"/>
    <n v="74"/>
  </r>
  <r>
    <s v="Row253_Row8_Row3_Row182_Row102_Row2_Row0_Row1"/>
    <n v="254"/>
    <s v="RES000254"/>
    <s v="Row18"/>
    <x v="1"/>
    <s v="Row489"/>
    <s v="Row345"/>
    <x v="1"/>
    <s v="Row0"/>
    <s v="Row2"/>
    <s v="1593.3000000000002"/>
    <n v="2"/>
    <n v="0"/>
    <n v="0"/>
    <n v="3"/>
    <n v="2"/>
    <n v="0"/>
    <n v="0"/>
    <n v="1"/>
    <n v="1"/>
    <s v="531.1"/>
    <s v="202.26999999999998"/>
    <n v="202.26999999999899"/>
    <s v="328.83000000000004"/>
    <n v="1"/>
    <n v="1"/>
    <n v="75"/>
  </r>
  <r>
    <s v="Row254_Row122_Row2_Row92_Row85_Row6_Row0_Row4"/>
    <n v="255"/>
    <s v="RES000255"/>
    <s v="Row233"/>
    <x v="2"/>
    <s v="Row196"/>
    <s v="Row220"/>
    <x v="2"/>
    <s v="Row0"/>
    <s v="Row9"/>
    <s v="459.01"/>
    <n v="2"/>
    <n v="0"/>
    <n v="0"/>
    <n v="4"/>
    <n v="2"/>
    <n v="0"/>
    <n v="0"/>
    <n v="1"/>
    <n v="1"/>
    <s v="459.01"/>
    <s v="63.28"/>
    <n v="63.28"/>
    <s v="395.73"/>
    <n v="1"/>
    <n v="1"/>
    <n v="76"/>
  </r>
  <r>
    <s v="Row255_Row24_Row0_Row15_Row10_Row5_Row0_Row2"/>
    <n v="256"/>
    <s v="RES000256"/>
    <s v="Row52"/>
    <x v="3"/>
    <s v="Row35"/>
    <s v="Row26"/>
    <x v="3"/>
    <s v="Row0"/>
    <s v="Row3"/>
    <s v="1365.04"/>
    <n v="3"/>
    <n v="1"/>
    <n v="0"/>
    <n v="5"/>
    <n v="4"/>
    <n v="0"/>
    <n v="0"/>
    <n v="1"/>
    <n v="1"/>
    <s v="682.52"/>
    <s v="66.67"/>
    <n v="66.67"/>
    <s v="615.85"/>
    <n v="1"/>
    <n v="1"/>
    <n v="77"/>
  </r>
  <r>
    <s v="Row256_Row307_Row1_Row219_Row14_Row4_Row0_Row0"/>
    <n v="257"/>
    <s v="RES000257"/>
    <s v="Row676"/>
    <x v="0"/>
    <s v="Row676"/>
    <s v="Row34"/>
    <x v="4"/>
    <s v="Row0"/>
    <s v="Row0"/>
    <s v="2642.8500000000004"/>
    <n v="3"/>
    <n v="0"/>
    <n v="0"/>
    <n v="6"/>
    <n v="3"/>
    <n v="0"/>
    <n v="0"/>
    <n v="1"/>
    <n v="1"/>
    <s v="880.95"/>
    <s v="263.97"/>
    <n v="263.97000000000003"/>
    <s v="616.98"/>
    <n v="1"/>
    <n v="1"/>
    <n v="78"/>
  </r>
  <r>
    <s v="Row257_Row89_Row3_Row79_Row25_Row3_Row0_Row3"/>
    <n v="258"/>
    <s v="RES000258"/>
    <s v="Row171"/>
    <x v="1"/>
    <s v="Row171"/>
    <s v="Row62"/>
    <x v="5"/>
    <s v="Row0"/>
    <s v="Row4"/>
    <s v="164.53"/>
    <n v="3"/>
    <n v="2"/>
    <n v="0"/>
    <n v="1"/>
    <n v="5"/>
    <n v="0"/>
    <n v="0"/>
    <n v="1"/>
    <n v="1"/>
    <s v="164.53"/>
    <s v="54.92"/>
    <n v="54.92"/>
    <s v="109.61"/>
    <n v="1"/>
    <n v="1"/>
    <n v="79"/>
  </r>
  <r>
    <s v="Row258_Row116_Row2_Row103_Row83_Row1_Row0_Row1"/>
    <n v="259"/>
    <s v="RES000259"/>
    <s v="Row223"/>
    <x v="2"/>
    <s v="Row223"/>
    <s v="Row212"/>
    <x v="6"/>
    <s v="Row0"/>
    <s v="Row2"/>
    <s v="1014.74"/>
    <n v="3"/>
    <n v="0"/>
    <n v="0"/>
    <n v="2"/>
    <n v="3"/>
    <n v="0"/>
    <n v="0"/>
    <n v="1"/>
    <n v="1"/>
    <s v="507.37"/>
    <s v="274.59"/>
    <n v="274.58999999999997"/>
    <s v="232.78000000000003"/>
    <n v="1"/>
    <n v="1"/>
    <n v="80"/>
  </r>
  <r>
    <s v="Row259_Row279_Row0_Row190_Row114_Row0_Row0_Row4"/>
    <n v="260"/>
    <s v="RES000260"/>
    <s v="Row600"/>
    <x v="3"/>
    <s v="Row527"/>
    <s v="Row444"/>
    <x v="0"/>
    <s v="Row0"/>
    <s v="Row9"/>
    <s v="1741.2599999999998"/>
    <n v="1"/>
    <n v="1"/>
    <n v="0"/>
    <n v="3"/>
    <n v="2"/>
    <n v="0"/>
    <n v="0"/>
    <n v="1"/>
    <n v="1"/>
    <s v="580.42"/>
    <s v="229.39000000000001"/>
    <n v="229.39"/>
    <s v="351.03"/>
    <n v="1"/>
    <n v="1"/>
    <n v="81"/>
  </r>
  <r>
    <s v="Row260_Row543_Row1_Row256_Row135_Row2_Row2_Row5"/>
    <n v="261"/>
    <s v="RES000261"/>
    <s v="Row1401"/>
    <x v="0"/>
    <s v="Row1368"/>
    <s v="Row1357"/>
    <x v="1"/>
    <s v="Row1350"/>
    <s v="Row1350"/>
    <s v="0"/>
    <n v="1"/>
    <n v="0"/>
    <n v="0"/>
    <n v="4"/>
    <n v="1"/>
    <n v="1"/>
    <n v="0"/>
    <n v="0"/>
    <n v="0"/>
    <s v="622.4"/>
    <n v="0"/>
    <n v="0"/>
    <s v="622.4"/>
    <n v="1"/>
    <n v="0"/>
    <n v="82"/>
  </r>
  <r>
    <s v="Row261_Row509_Row3_Row296_Row150_Row6_Row2_Row5"/>
    <n v="262"/>
    <s v="RES000262"/>
    <s v="Row1363"/>
    <x v="1"/>
    <s v="Row1444"/>
    <s v="Row1384"/>
    <x v="2"/>
    <s v="Row1350"/>
    <s v="Row1350"/>
    <s v="0"/>
    <n v="1"/>
    <n v="0"/>
    <n v="0"/>
    <n v="5"/>
    <n v="1"/>
    <n v="1"/>
    <n v="0"/>
    <n v="0"/>
    <n v="0"/>
    <s v="909.65"/>
    <n v="0"/>
    <n v="0"/>
    <s v="909.65"/>
    <n v="1"/>
    <n v="0"/>
    <n v="83"/>
  </r>
  <r>
    <s v="Row262_Row505_Row2_Row255_Row159_Row5_Row2_Row5"/>
    <n v="263"/>
    <s v="RES000263"/>
    <s v="Row1359"/>
    <x v="2"/>
    <s v="Row1367"/>
    <s v="Row1487"/>
    <x v="3"/>
    <s v="Row1350"/>
    <s v="Row1350"/>
    <s v="0"/>
    <n v="2"/>
    <n v="0"/>
    <n v="0"/>
    <n v="6"/>
    <n v="2"/>
    <n v="1"/>
    <n v="0"/>
    <n v="0"/>
    <n v="0"/>
    <s v="1145.82"/>
    <n v="0"/>
    <n v="0"/>
    <s v="1145.82"/>
    <n v="1"/>
    <n v="0"/>
    <n v="84"/>
  </r>
  <r>
    <s v="Row263_Row497_Row0_Row241_Row129_Row4_Row3_Row5"/>
    <n v="264"/>
    <s v="RES000264"/>
    <s v="Row1351"/>
    <x v="3"/>
    <s v="Row1351"/>
    <s v="Row1351"/>
    <x v="4"/>
    <s v="Row1351"/>
    <s v="Row1350"/>
    <s v="0"/>
    <n v="2"/>
    <n v="2"/>
    <n v="1"/>
    <n v="1"/>
    <n v="5"/>
    <n v="0"/>
    <n v="1"/>
    <n v="0"/>
    <n v="0"/>
    <s v="200.01"/>
    <n v="0"/>
    <n v="0"/>
    <s v="200.01"/>
    <n v="1"/>
    <n v="0"/>
    <n v="85"/>
  </r>
  <r>
    <s v="Row264_Row403_Row1_Row180_Row54_Row3_Row1_Row0"/>
    <n v="265"/>
    <s v="RES000265"/>
    <s v="Row973"/>
    <x v="0"/>
    <s v="Row462"/>
    <s v="Row127"/>
    <x v="5"/>
    <s v="Row87"/>
    <s v="Row0"/>
    <s v="205.84"/>
    <n v="2"/>
    <n v="0"/>
    <n v="0"/>
    <n v="2"/>
    <n v="2"/>
    <n v="0"/>
    <n v="0"/>
    <n v="0"/>
    <n v="0"/>
    <s v="514.6"/>
    <s v="186.11"/>
    <n v="186.11"/>
    <s v="328.49"/>
    <n v="1"/>
    <n v="0"/>
    <n v="86"/>
  </r>
  <r>
    <s v="Row265_Row40_Row3_Row36_Row35_Row1_Row1_Row3"/>
    <n v="266"/>
    <s v="RES000266"/>
    <s v="Row87"/>
    <x v="1"/>
    <s v="Row87"/>
    <s v="Row87"/>
    <x v="6"/>
    <s v="Row87"/>
    <s v="Row4"/>
    <s v="256.28"/>
    <n v="3"/>
    <n v="0"/>
    <n v="0"/>
    <n v="3"/>
    <n v="3"/>
    <n v="0"/>
    <n v="0"/>
    <n v="0"/>
    <n v="0"/>
    <s v="640.71"/>
    <s v="94.92"/>
    <n v="94.92"/>
    <s v="545.7900000000001"/>
    <n v="1"/>
    <n v="0"/>
    <n v="87"/>
  </r>
  <r>
    <s v="Row266_Row412_Row2_Row93_Row57_Row0_Row0_Row3"/>
    <n v="267"/>
    <s v="RES000267"/>
    <s v="Row995"/>
    <x v="2"/>
    <s v="Row197"/>
    <s v="Row139"/>
    <x v="0"/>
    <s v="Row0"/>
    <s v="Row4"/>
    <s v="827.16"/>
    <n v="3"/>
    <n v="0"/>
    <n v="0"/>
    <n v="4"/>
    <n v="3"/>
    <n v="0"/>
    <n v="0"/>
    <n v="1"/>
    <n v="1"/>
    <s v="827.16"/>
    <s v="63.28"/>
    <n v="63.28"/>
    <s v="763.88"/>
    <n v="1"/>
    <n v="1"/>
    <n v="88"/>
  </r>
  <r>
    <s v="Row267_Row303_Row0_Row113_Row55_Row2_Row0_Row1"/>
    <n v="268"/>
    <s v="RES000268"/>
    <s v="Row667"/>
    <x v="3"/>
    <s v="Row244"/>
    <s v="Row132"/>
    <x v="1"/>
    <s v="Row0"/>
    <s v="Row2"/>
    <s v="2133.44"/>
    <n v="3"/>
    <n v="1"/>
    <n v="0"/>
    <n v="5"/>
    <n v="4"/>
    <n v="0"/>
    <n v="0"/>
    <n v="1"/>
    <n v="1"/>
    <s v="1066.72"/>
    <s v="66.67"/>
    <n v="66.67"/>
    <s v="1000.0500000000001"/>
    <n v="1"/>
    <n v="1"/>
    <n v="89"/>
  </r>
  <r>
    <s v="Row268_Row304_Row1_Row217_Row76_Row6_Row0_Row4"/>
    <n v="269"/>
    <s v="RES000269"/>
    <s v="Row670"/>
    <x v="0"/>
    <s v="Row670"/>
    <s v="Row192"/>
    <x v="2"/>
    <s v="Row0"/>
    <s v="Row9"/>
    <s v="3922.2300000000005"/>
    <n v="3"/>
    <n v="0"/>
    <n v="0"/>
    <n v="6"/>
    <n v="3"/>
    <n v="0"/>
    <n v="0"/>
    <n v="1"/>
    <n v="1"/>
    <s v="1307.41"/>
    <s v="270.07"/>
    <n v="270.07"/>
    <s v="1037.3400000000001"/>
    <n v="1"/>
    <n v="1"/>
    <n v="90"/>
  </r>
  <r>
    <s v="Row269_Row164_Row3_Row138_Row61_Row5_Row0_Row2"/>
    <n v="270"/>
    <s v="RES000270"/>
    <s v="Row328"/>
    <x v="1"/>
    <s v="Row328"/>
    <s v="Row145"/>
    <x v="3"/>
    <s v="Row0"/>
    <s v="Row3"/>
    <s v="215.66"/>
    <n v="1"/>
    <n v="2"/>
    <n v="0"/>
    <n v="1"/>
    <n v="3"/>
    <n v="0"/>
    <n v="0"/>
    <n v="1"/>
    <n v="1"/>
    <s v="215.66"/>
    <s v="61.02"/>
    <n v="61.02"/>
    <s v="154.64"/>
    <n v="1"/>
    <n v="1"/>
    <n v="1"/>
  </r>
  <r>
    <s v="Row270_Row14_Row2_Row13_Row13_Row4_Row0_Row0"/>
    <n v="271"/>
    <s v="RES000271"/>
    <s v="Row32"/>
    <x v="2"/>
    <s v="Row32"/>
    <s v="Row32"/>
    <x v="4"/>
    <s v="Row0"/>
    <s v="Row0"/>
    <s v="1295.44"/>
    <n v="1"/>
    <n v="0"/>
    <n v="0"/>
    <n v="2"/>
    <n v="1"/>
    <n v="0"/>
    <n v="0"/>
    <n v="1"/>
    <n v="1"/>
    <s v="647.72"/>
    <s v="265.78"/>
    <n v="265.77999999999997"/>
    <s v="381.94000000000005"/>
    <n v="1"/>
    <n v="1"/>
    <n v="2"/>
  </r>
  <r>
    <s v="Row271_Row218_Row0_Row214_Row126_Row3_Row0_Row3"/>
    <n v="272"/>
    <s v="RES000272"/>
    <s v="Row447"/>
    <x v="3"/>
    <s v="Row646"/>
    <s v="Row646"/>
    <x v="5"/>
    <s v="Row0"/>
    <s v="Row4"/>
    <s v="2461.83"/>
    <n v="1"/>
    <n v="1"/>
    <n v="0"/>
    <n v="3"/>
    <n v="2"/>
    <n v="0"/>
    <n v="0"/>
    <n v="1"/>
    <n v="1"/>
    <s v="820.61"/>
    <s v="220.58"/>
    <n v="220.58"/>
    <s v="600.03"/>
    <n v="1"/>
    <n v="1"/>
    <n v="3"/>
  </r>
  <r>
    <s v="Row272_Row1_Row1_Row1_Row1_Row1_Row0_Row1"/>
    <n v="273"/>
    <s v="RES000273"/>
    <s v="Row2"/>
    <x v="0"/>
    <s v="Row2"/>
    <s v="Row2"/>
    <x v="6"/>
    <s v="Row0"/>
    <s v="Row2"/>
    <s v="768.4"/>
    <n v="2"/>
    <n v="0"/>
    <n v="0"/>
    <n v="4"/>
    <n v="2"/>
    <n v="0"/>
    <n v="0"/>
    <n v="1"/>
    <n v="1"/>
    <s v="768.4"/>
    <s v="76.84"/>
    <n v="76.84"/>
    <s v="691.56"/>
    <n v="1"/>
    <n v="1"/>
    <n v="4"/>
  </r>
  <r>
    <s v="Row273_Row376_Row3_Row7_Row118_Row0_Row0_Row4"/>
    <n v="274"/>
    <s v="RES000274"/>
    <s v="Row892"/>
    <x v="1"/>
    <s v="Row18"/>
    <s v="Row495"/>
    <x v="0"/>
    <s v="Row0"/>
    <s v="Row9"/>
    <s v="1979.76"/>
    <n v="2"/>
    <n v="0"/>
    <n v="0"/>
    <n v="5"/>
    <n v="2"/>
    <n v="0"/>
    <n v="0"/>
    <n v="1"/>
    <n v="1"/>
    <s v="989.88"/>
    <s v="80.22999999999999"/>
    <n v="80.229999999999905"/>
    <s v="909.65"/>
    <n v="1"/>
    <n v="1"/>
    <n v="5"/>
  </r>
  <r>
    <s v="Row274_Row379_Row2_Row230_Row75_Row2_Row0_Row2"/>
    <n v="275"/>
    <s v="RES000275"/>
    <s v="Row898"/>
    <x v="2"/>
    <s v="Row845"/>
    <s v="Row184"/>
    <x v="1"/>
    <s v="Row0"/>
    <s v="Row3"/>
    <s v="4075.7999999999997"/>
    <n v="2"/>
    <n v="0"/>
    <n v="0"/>
    <n v="6"/>
    <n v="2"/>
    <n v="0"/>
    <n v="0"/>
    <n v="1"/>
    <n v="1"/>
    <s v="1358.6"/>
    <s v="270.07"/>
    <n v="270.07"/>
    <s v="1088.53"/>
    <n v="1"/>
    <n v="1"/>
    <n v="6"/>
  </r>
  <r>
    <s v="Row275_Row93_Row0_Row10_Row46_Row6_Row0_Row0"/>
    <n v="276"/>
    <s v="RES000276"/>
    <s v="Row177"/>
    <x v="3"/>
    <s v="Row26"/>
    <s v="Row107"/>
    <x v="2"/>
    <s v="Row0"/>
    <s v="Row0"/>
    <s v="247.47"/>
    <n v="3"/>
    <n v="2"/>
    <n v="1"/>
    <n v="1"/>
    <n v="6"/>
    <n v="0"/>
    <n v="0"/>
    <n v="1"/>
    <n v="1"/>
    <s v="247.47"/>
    <s v="47.46"/>
    <n v="47.46"/>
    <s v="200.01"/>
    <n v="1"/>
    <n v="1"/>
    <n v="7"/>
  </r>
  <r>
    <s v="Row276_Row361_Row1_Row154_Row127_Row5_Row0_Row3"/>
    <n v="277"/>
    <s v="RES000277"/>
    <s v="Row858"/>
    <x v="0"/>
    <s v="Row370"/>
    <s v="Row673"/>
    <x v="3"/>
    <s v="Row0"/>
    <s v="Row4"/>
    <s v="1294.98"/>
    <n v="3"/>
    <n v="0"/>
    <n v="0"/>
    <n v="2"/>
    <n v="3"/>
    <n v="0"/>
    <n v="0"/>
    <n v="1"/>
    <n v="1"/>
    <s v="647.49"/>
    <s v="301.71"/>
    <n v="301.70999999999998"/>
    <s v="345.78000000000003"/>
    <n v="1"/>
    <n v="1"/>
    <n v="8"/>
  </r>
  <r>
    <s v="Row277_Row9_Row3_Row8_Row7_Row4_Row0_Row1"/>
    <n v="278"/>
    <s v="RES000278"/>
    <s v="Row20"/>
    <x v="1"/>
    <s v="Row20"/>
    <s v="Row15"/>
    <x v="4"/>
    <s v="Row0"/>
    <s v="Row2"/>
    <s v="2225.19"/>
    <n v="3"/>
    <n v="0"/>
    <n v="0"/>
    <n v="3"/>
    <n v="3"/>
    <n v="0"/>
    <n v="0"/>
    <n v="1"/>
    <n v="1"/>
    <s v="741.73"/>
    <s v="195.94"/>
    <n v="195.94"/>
    <s v="545.79"/>
    <n v="1"/>
    <n v="1"/>
    <n v="9"/>
  </r>
  <r>
    <s v="Row278_Row161_Row2_Row232_Row119_Row3_Row0_Row4"/>
    <n v="279"/>
    <s v="RES000279"/>
    <s v="Row321"/>
    <x v="2"/>
    <s v="Row853"/>
    <s v="Row519"/>
    <x v="5"/>
    <s v="Row0"/>
    <s v="Row9"/>
    <s v="744.44"/>
    <n v="3"/>
    <n v="0"/>
    <n v="0"/>
    <n v="4"/>
    <n v="3"/>
    <n v="0"/>
    <n v="0"/>
    <n v="1"/>
    <n v="1"/>
    <s v="744.44"/>
    <s v="56.95"/>
    <n v="56.95"/>
    <s v="687.49"/>
    <n v="1"/>
    <n v="1"/>
    <n v="10"/>
  </r>
  <r>
    <s v="Row279_Row186_Row0_Row156_Row24_Row1_Row0_Row2"/>
    <n v="280"/>
    <s v="RES000280"/>
    <s v="Row373"/>
    <x v="3"/>
    <s v="Row373"/>
    <s v="Row61"/>
    <x v="6"/>
    <s v="Row0"/>
    <s v="Row3"/>
    <s v="2033.44"/>
    <n v="1"/>
    <n v="1"/>
    <n v="0"/>
    <n v="5"/>
    <n v="2"/>
    <n v="0"/>
    <n v="0"/>
    <n v="1"/>
    <n v="1"/>
    <s v="1016.72"/>
    <s v="66.67"/>
    <n v="66.67"/>
    <s v="950.0500000000001"/>
    <n v="1"/>
    <n v="1"/>
    <n v="11"/>
  </r>
  <r>
    <s v="Row280_Row554_Row1_Row282_Row130_Row0_Row2_Row5"/>
    <n v="281"/>
    <s v="RES000281"/>
    <s v="Row1412"/>
    <x v="0"/>
    <s v="Row1412"/>
    <s v="Row1352"/>
    <x v="0"/>
    <s v="Row1350"/>
    <s v="Row1350"/>
    <s v="0"/>
    <n v="1"/>
    <n v="0"/>
    <n v="0"/>
    <n v="6"/>
    <n v="1"/>
    <n v="1"/>
    <n v="0"/>
    <n v="0"/>
    <n v="0"/>
    <s v="1037.34"/>
    <n v="0"/>
    <n v="0"/>
    <s v="1037.34"/>
    <n v="1"/>
    <n v="0"/>
    <n v="12"/>
  </r>
  <r>
    <s v="Row281_Row520_Row3_Row252_Row145_Row2_Row2_Row5"/>
    <n v="282"/>
    <s v="RES000282"/>
    <s v="Row1375"/>
    <x v="1"/>
    <s v="Row1363"/>
    <s v="Row1371"/>
    <x v="1"/>
    <s v="Row1350"/>
    <s v="Row1350"/>
    <s v="0"/>
    <n v="1"/>
    <n v="2"/>
    <n v="0"/>
    <n v="1"/>
    <n v="3"/>
    <n v="1"/>
    <n v="0"/>
    <n v="0"/>
    <n v="0"/>
    <s v="181.93"/>
    <n v="0"/>
    <n v="0"/>
    <s v="181.93"/>
    <n v="1"/>
    <n v="0"/>
    <n v="13"/>
  </r>
  <r>
    <s v="Row282_Row618_Row2_Row249_Row148_Row6_Row2_Row5"/>
    <n v="283"/>
    <s v="RES000283"/>
    <s v="Row1526"/>
    <x v="2"/>
    <s v="Row1359"/>
    <s v="Row1374"/>
    <x v="2"/>
    <s v="Row1350"/>
    <s v="Row1350"/>
    <s v="0"/>
    <n v="2"/>
    <n v="0"/>
    <n v="0"/>
    <n v="2"/>
    <n v="2"/>
    <n v="1"/>
    <n v="0"/>
    <n v="0"/>
    <n v="0"/>
    <s v="381.94"/>
    <n v="0"/>
    <n v="0"/>
    <s v="381.94"/>
    <n v="1"/>
    <n v="0"/>
    <n v="14"/>
  </r>
  <r>
    <s v="Row283_Row515_Row0_Row258_Row144_Row5_Row3_Row5"/>
    <n v="284"/>
    <s v="RES000284"/>
    <s v="Row1370"/>
    <x v="3"/>
    <s v="Row1370"/>
    <s v="Row1370"/>
    <x v="3"/>
    <s v="Row1351"/>
    <s v="Row1350"/>
    <s v="0"/>
    <n v="2"/>
    <n v="1"/>
    <n v="0"/>
    <n v="3"/>
    <n v="3"/>
    <n v="0"/>
    <n v="1"/>
    <n v="0"/>
    <n v="0"/>
    <s v="600.03"/>
    <n v="0"/>
    <n v="0"/>
    <s v="600.03"/>
    <n v="1"/>
    <n v="0"/>
    <n v="15"/>
  </r>
  <r>
    <s v="Row284_Row53_Row1_Row48_Row47_Row4_Row1_Row3"/>
    <n v="285"/>
    <s v="RES000285"/>
    <s v="Row110"/>
    <x v="0"/>
    <s v="Row110"/>
    <s v="Row110"/>
    <x v="4"/>
    <s v="Row87"/>
    <s v="Row4"/>
    <s v="265.87"/>
    <n v="2"/>
    <n v="0"/>
    <n v="0"/>
    <n v="4"/>
    <n v="2"/>
    <n v="0"/>
    <n v="0"/>
    <n v="0"/>
    <n v="0"/>
    <s v="664.67"/>
    <s v="76.84"/>
    <n v="76.84"/>
    <s v="587.8299999999999"/>
    <n v="1"/>
    <n v="0"/>
    <n v="16"/>
  </r>
  <r>
    <s v="Row285_Row247_Row3_Row189_Row95_Row3_Row1_Row1"/>
    <n v="286"/>
    <s v="RES000286"/>
    <s v="Row523"/>
    <x v="1"/>
    <s v="Row523"/>
    <s v="Row280"/>
    <x v="5"/>
    <s v="Row87"/>
    <s v="Row2"/>
    <s v="387.05"/>
    <n v="3"/>
    <n v="0"/>
    <n v="0"/>
    <n v="5"/>
    <n v="3"/>
    <n v="0"/>
    <n v="0"/>
    <n v="0"/>
    <n v="0"/>
    <s v="967.62"/>
    <s v="57.97"/>
    <n v="57.97"/>
    <s v="909.65"/>
    <n v="1"/>
    <n v="0"/>
    <n v="17"/>
  </r>
  <r>
    <s v="Row286_Row386_Row2_Row220_Row71_Row1_Row0_Row1"/>
    <n v="287"/>
    <s v="RES000287"/>
    <s v="Row910"/>
    <x v="2"/>
    <s v="Row682"/>
    <s v="Row168"/>
    <x v="6"/>
    <s v="Row0"/>
    <s v="Row2"/>
    <s v="4247.67"/>
    <n v="3"/>
    <n v="0"/>
    <n v="0"/>
    <n v="6"/>
    <n v="3"/>
    <n v="0"/>
    <n v="0"/>
    <n v="1"/>
    <n v="1"/>
    <s v="1415.89"/>
    <s v="270.07"/>
    <n v="270.07"/>
    <s v="1145.8200000000002"/>
    <n v="1"/>
    <n v="1"/>
    <n v="18"/>
  </r>
  <r>
    <s v="Row287_Row369_Row0_Row215_Row53_Row0_Row0_Row4"/>
    <n v="288"/>
    <s v="RES000288"/>
    <s v="Row871"/>
    <x v="3"/>
    <s v="Row667"/>
    <s v="Row123"/>
    <x v="0"/>
    <s v="Row0"/>
    <s v="Row9"/>
    <s v="227.47"/>
    <n v="3"/>
    <n v="2"/>
    <n v="1"/>
    <n v="1"/>
    <n v="6"/>
    <n v="0"/>
    <n v="0"/>
    <n v="1"/>
    <n v="1"/>
    <s v="227.47"/>
    <s v="47.46"/>
    <n v="47.46"/>
    <s v="180.01"/>
    <n v="1"/>
    <n v="1"/>
    <n v="19"/>
  </r>
  <r>
    <s v="Row288_Row238_Row1_Row90_Row34_Row2_Row0_Row2"/>
    <n v="289"/>
    <s v="RES000289"/>
    <s v="Row502"/>
    <x v="0"/>
    <s v="Row192"/>
    <s v="Row85"/>
    <x v="1"/>
    <s v="Row0"/>
    <s v="Row3"/>
    <s v="1294.98"/>
    <n v="3"/>
    <n v="0"/>
    <n v="0"/>
    <n v="2"/>
    <n v="3"/>
    <n v="0"/>
    <n v="0"/>
    <n v="1"/>
    <n v="1"/>
    <s v="647.49"/>
    <s v="301.71"/>
    <n v="301.70999999999998"/>
    <s v="345.78000000000003"/>
    <n v="1"/>
    <n v="1"/>
    <n v="20"/>
  </r>
  <r>
    <s v="Row289_Row387_Row3_Row238_Row12_Row6_Row0_Row0"/>
    <n v="290"/>
    <s v="RES000290"/>
    <s v="Row918"/>
    <x v="1"/>
    <s v="Row918"/>
    <s v="Row29"/>
    <x v="2"/>
    <s v="Row0"/>
    <s v="Row0"/>
    <s v="2162.31"/>
    <n v="1"/>
    <n v="0"/>
    <n v="0"/>
    <n v="3"/>
    <n v="1"/>
    <n v="0"/>
    <n v="0"/>
    <n v="1"/>
    <n v="1"/>
    <s v="720.77"/>
    <s v="202.26999999999998"/>
    <n v="202.26999999999899"/>
    <s v="518.5"/>
    <n v="1"/>
    <n v="1"/>
    <n v="21"/>
  </r>
  <r>
    <s v="Row290_Row430_Row2_Row200_Row116_Row5_Row0_Row3"/>
    <n v="291"/>
    <s v="RES000291"/>
    <s v="Row1065"/>
    <x v="2"/>
    <s v="Row571"/>
    <s v="Row459"/>
    <x v="3"/>
    <s v="Row0"/>
    <s v="Row4"/>
    <s v="827.16"/>
    <n v="1"/>
    <n v="0"/>
    <n v="0"/>
    <n v="4"/>
    <n v="1"/>
    <n v="0"/>
    <n v="0"/>
    <n v="1"/>
    <n v="1"/>
    <s v="827.16"/>
    <s v="63.28"/>
    <n v="63.28"/>
    <s v="763.88"/>
    <n v="1"/>
    <n v="1"/>
    <n v="22"/>
  </r>
  <r>
    <s v="Row291_Row12_Row0_Row11_Row11_Row4_Row0_Row1"/>
    <n v="292"/>
    <s v="RES000292"/>
    <s v="Row27"/>
    <x v="3"/>
    <s v="Row27"/>
    <s v="Row27"/>
    <x v="4"/>
    <s v="Row0"/>
    <s v="Row2"/>
    <s v="2128.92"/>
    <n v="1"/>
    <n v="1"/>
    <n v="0"/>
    <n v="5"/>
    <n v="2"/>
    <n v="0"/>
    <n v="0"/>
    <n v="1"/>
    <n v="1"/>
    <s v="1064.46"/>
    <s v="64.41"/>
    <n v="64.41"/>
    <s v="1000.0500000000001"/>
    <n v="1"/>
    <n v="1"/>
    <n v="23"/>
  </r>
  <r>
    <s v="Row292_Row155_Row1_Row130_Row59_Row3_Row0_Row4"/>
    <n v="293"/>
    <s v="RES000293"/>
    <s v="Row312"/>
    <x v="0"/>
    <s v="Row306"/>
    <s v="Row141"/>
    <x v="5"/>
    <s v="Row0"/>
    <s v="Row9"/>
    <s v="3915.4500000000003"/>
    <n v="2"/>
    <n v="0"/>
    <n v="0"/>
    <n v="6"/>
    <n v="2"/>
    <n v="0"/>
    <n v="0"/>
    <n v="1"/>
    <n v="1"/>
    <s v="1305.15"/>
    <s v="267.81"/>
    <n v="267.81"/>
    <s v="1037.3400000000001"/>
    <n v="1"/>
    <n v="1"/>
    <n v="24"/>
  </r>
  <r>
    <s v="Row293_Row85_Row3_Row76_Row69_Row1_Row0_Row2"/>
    <n v="294"/>
    <s v="RES000294"/>
    <s v="Row166"/>
    <x v="1"/>
    <s v="Row166"/>
    <s v="Row166"/>
    <x v="6"/>
    <s v="Row0"/>
    <s v="Row3"/>
    <s v="242.95"/>
    <n v="2"/>
    <n v="2"/>
    <n v="0"/>
    <n v="1"/>
    <n v="4"/>
    <n v="0"/>
    <n v="0"/>
    <n v="1"/>
    <n v="1"/>
    <s v="242.95"/>
    <s v="61.02"/>
    <n v="61.02"/>
    <s v="181.92999999999998"/>
    <n v="1"/>
    <n v="1"/>
    <n v="25"/>
  </r>
  <r>
    <s v="Row294_Row478_Row2_Row224_Row19_Row0_Row0_Row0"/>
    <n v="295"/>
    <s v="RES000295"/>
    <s v="Row1267"/>
    <x v="2"/>
    <s v="Row746"/>
    <s v="Row45"/>
    <x v="0"/>
    <s v="Row0"/>
    <s v="Row0"/>
    <s v="1274.86"/>
    <n v="2"/>
    <n v="0"/>
    <n v="0"/>
    <n v="2"/>
    <n v="2"/>
    <n v="0"/>
    <n v="0"/>
    <n v="1"/>
    <n v="1"/>
    <s v="637.43"/>
    <s v="274.59"/>
    <n v="274.58999999999997"/>
    <s v="362.84"/>
    <n v="1"/>
    <n v="1"/>
    <n v="26"/>
  </r>
  <r>
    <s v="Row295_Row123_Row0_Row47_Row88_Row2_Row0_Row3"/>
    <n v="296"/>
    <s v="RES000296"/>
    <s v="Row234"/>
    <x v="3"/>
    <s v="Row107"/>
    <s v="Row234"/>
    <x v="1"/>
    <s v="Row0"/>
    <s v="Row4"/>
    <s v="2488.2599999999998"/>
    <n v="3"/>
    <n v="1"/>
    <n v="0"/>
    <n v="3"/>
    <n v="4"/>
    <n v="0"/>
    <n v="0"/>
    <n v="1"/>
    <n v="1"/>
    <s v="829.42"/>
    <s v="229.39000000000001"/>
    <n v="229.39"/>
    <s v="600.03"/>
    <n v="1"/>
    <n v="1"/>
    <n v="27"/>
  </r>
  <r>
    <s v="Row296_Row203_Row1_Row166_Row58_Row6_Row0_Row1"/>
    <n v="297"/>
    <s v="RES000297"/>
    <s v="Row410"/>
    <x v="0"/>
    <s v="Row410"/>
    <s v="Row140"/>
    <x v="2"/>
    <s v="Row0"/>
    <s v="Row2"/>
    <s v="699.24"/>
    <n v="3"/>
    <n v="0"/>
    <n v="0"/>
    <n v="4"/>
    <n v="3"/>
    <n v="0"/>
    <n v="0"/>
    <n v="1"/>
    <n v="1"/>
    <s v="699.24"/>
    <s v="76.84"/>
    <n v="76.84"/>
    <s v="622.4"/>
    <n v="1"/>
    <n v="1"/>
    <n v="28"/>
  </r>
  <r>
    <s v="Row297_Row196_Row3_Row140_Row81_Row5_Row0_Row4"/>
    <n v="298"/>
    <s v="RES000298"/>
    <s v="Row397"/>
    <x v="1"/>
    <s v="Row330"/>
    <s v="Row206"/>
    <x v="3"/>
    <s v="Row0"/>
    <s v="Row9"/>
    <s v="1979.76"/>
    <n v="3"/>
    <n v="0"/>
    <n v="0"/>
    <n v="5"/>
    <n v="3"/>
    <n v="0"/>
    <n v="0"/>
    <n v="1"/>
    <n v="1"/>
    <s v="989.88"/>
    <s v="80.22999999999999"/>
    <n v="80.229999999999905"/>
    <s v="909.65"/>
    <n v="1"/>
    <n v="1"/>
    <n v="29"/>
  </r>
  <r>
    <s v="Row298_Row418_Row2_Row135_Row124_Row4_Row0_Row2"/>
    <n v="299"/>
    <s v="RES000299"/>
    <s v="Row1010"/>
    <x v="2"/>
    <s v="Row321"/>
    <s v="Row587"/>
    <x v="4"/>
    <s v="Row0"/>
    <s v="Row3"/>
    <s v="4233.42"/>
    <n v="3"/>
    <n v="0"/>
    <n v="0"/>
    <n v="6"/>
    <n v="3"/>
    <n v="0"/>
    <n v="0"/>
    <n v="1"/>
    <n v="1"/>
    <s v="1411.14"/>
    <s v="265.32"/>
    <n v="265.32"/>
    <s v="1145.8200000000002"/>
    <n v="1"/>
    <n v="1"/>
    <n v="30"/>
  </r>
  <r>
    <s v="Row299_Row388_Row0_Row226_Row106_Row3_Row0_Row0"/>
    <n v="300"/>
    <s v="RES000300"/>
    <s v="Row921"/>
    <x v="3"/>
    <s v="Row809"/>
    <s v="Row361"/>
    <x v="5"/>
    <s v="Row0"/>
    <s v="Row0"/>
    <s v="212.72"/>
    <n v="1"/>
    <n v="2"/>
    <n v="1"/>
    <n v="1"/>
    <n v="4"/>
    <n v="0"/>
    <n v="0"/>
    <n v="1"/>
    <n v="1"/>
    <s v="212.72"/>
    <s v="42.71"/>
    <n v="42.71"/>
    <s v="170.01"/>
    <n v="1"/>
    <n v="1"/>
    <n v="31"/>
  </r>
  <r>
    <s v="Row300_Row556_Row1_Row242_Row154_Row1_Row2_Row5"/>
    <n v="301"/>
    <s v="RES000301"/>
    <s v="Row1414"/>
    <x v="0"/>
    <s v="Row1352"/>
    <s v="Row1394"/>
    <x v="6"/>
    <s v="Row1350"/>
    <s v="Row1350"/>
    <s v="0"/>
    <n v="1"/>
    <n v="0"/>
    <n v="0"/>
    <n v="2"/>
    <n v="1"/>
    <n v="1"/>
    <n v="0"/>
    <n v="0"/>
    <n v="0"/>
    <s v="429.4"/>
    <n v="0"/>
    <n v="0"/>
    <s v="429.4"/>
    <n v="1"/>
    <n v="0"/>
    <n v="32"/>
  </r>
  <r>
    <s v="Row301_Row586_Row3_Row269_Row143_Row0_Row2_Row5"/>
    <n v="302"/>
    <s v="RES000302"/>
    <s v="Row1458"/>
    <x v="1"/>
    <s v="Row1388"/>
    <s v="Row1366"/>
    <x v="0"/>
    <s v="Row1350"/>
    <s v="Row1350"/>
    <s v="0"/>
    <n v="1"/>
    <n v="0"/>
    <n v="0"/>
    <n v="3"/>
    <n v="1"/>
    <n v="1"/>
    <n v="0"/>
    <n v="0"/>
    <n v="0"/>
    <n v="678"/>
    <n v="0"/>
    <n v="0"/>
    <n v="678"/>
    <n v="1"/>
    <n v="0"/>
    <n v="33"/>
  </r>
  <r>
    <s v="Row302_Row549_Row2_Row281_Row149_Row2_Row2_Row5"/>
    <n v="303"/>
    <s v="RES000303"/>
    <s v="Row1407"/>
    <x v="2"/>
    <s v="Row1407"/>
    <s v="Row1379"/>
    <x v="1"/>
    <s v="Row1350"/>
    <s v="Row1350"/>
    <s v="0"/>
    <n v="2"/>
    <n v="0"/>
    <n v="0"/>
    <n v="4"/>
    <n v="2"/>
    <n v="1"/>
    <n v="0"/>
    <n v="0"/>
    <n v="0"/>
    <s v="949.2"/>
    <n v="0"/>
    <n v="0"/>
    <s v="949.2"/>
    <n v="1"/>
    <n v="0"/>
    <n v="34"/>
  </r>
  <r>
    <s v="Row303_Row541_Row0_Row275_Row153_Row6_Row3_Row5"/>
    <n v="304"/>
    <s v="RES000304"/>
    <s v="Row1398"/>
    <x v="3"/>
    <s v="Row1398"/>
    <s v="Row1390"/>
    <x v="2"/>
    <s v="Row1351"/>
    <s v="Row1350"/>
    <s v="0"/>
    <n v="2"/>
    <n v="1"/>
    <n v="0"/>
    <n v="5"/>
    <n v="3"/>
    <n v="0"/>
    <n v="1"/>
    <n v="0"/>
    <n v="0"/>
    <n v="1243"/>
    <n v="0"/>
    <n v="0"/>
    <n v="1243"/>
    <n v="1"/>
    <n v="0"/>
    <n v="35"/>
  </r>
  <r>
    <s v="Row304_Row46_Row1_Row42_Row41_Row5_Row1_Row1"/>
    <n v="305"/>
    <s v="RES000305"/>
    <s v="Row95"/>
    <x v="0"/>
    <s v="Row95"/>
    <s v="Row95"/>
    <x v="3"/>
    <s v="Row87"/>
    <s v="Row2"/>
    <s v="498.56"/>
    <n v="2"/>
    <n v="0"/>
    <n v="0"/>
    <n v="6"/>
    <n v="2"/>
    <n v="0"/>
    <n v="0"/>
    <n v="0"/>
    <n v="0"/>
    <s v="1246.39"/>
    <s v="22.6"/>
    <n v="22.6"/>
    <s v="1223.7900000000002"/>
    <n v="1"/>
    <n v="0"/>
    <n v="36"/>
  </r>
  <r>
    <s v="Row305_Row246_Row3_Row188_Row104_Row4_Row1_Row4"/>
    <n v="306"/>
    <s v="RES000306"/>
    <s v="Row522"/>
    <x v="1"/>
    <s v="Row522"/>
    <s v="Row353"/>
    <x v="4"/>
    <s v="Row87"/>
    <s v="Row9"/>
    <s v="105.77"/>
    <n v="3"/>
    <n v="2"/>
    <n v="0"/>
    <n v="1"/>
    <n v="5"/>
    <n v="0"/>
    <n v="0"/>
    <n v="0"/>
    <n v="0"/>
    <s v="264.42"/>
    <s v="61.02"/>
    <n v="61.02"/>
    <s v="203.4"/>
    <n v="1"/>
    <n v="0"/>
    <n v="37"/>
  </r>
  <r>
    <s v="Row306_Row42_Row2_Row38_Row37_Row3_Row0_Row4"/>
    <n v="307"/>
    <s v="RES000307"/>
    <s v="Row89"/>
    <x v="2"/>
    <s v="Row89"/>
    <s v="Row89"/>
    <x v="5"/>
    <s v="Row0"/>
    <s v="Row9"/>
    <s v="1461.1"/>
    <n v="3"/>
    <n v="0"/>
    <n v="0"/>
    <n v="2"/>
    <n v="3"/>
    <n v="0"/>
    <n v="0"/>
    <n v="1"/>
    <n v="1"/>
    <s v="730.55"/>
    <s v="255.95"/>
    <n v="255.95"/>
    <s v="474.59999999999997"/>
    <n v="1"/>
    <n v="1"/>
    <n v="38"/>
  </r>
  <r>
    <s v="Row307_Row277_Row0_Row122_Row125_Row1_Row0_Row2"/>
    <n v="308"/>
    <s v="RES000308"/>
    <s v="Row596"/>
    <x v="3"/>
    <s v="Row269"/>
    <s v="Row596"/>
    <x v="6"/>
    <s v="Row0"/>
    <s v="Row3"/>
    <s v="2925.57"/>
    <n v="3"/>
    <n v="1"/>
    <n v="0"/>
    <n v="3"/>
    <n v="4"/>
    <n v="0"/>
    <n v="0"/>
    <n v="1"/>
    <n v="1"/>
    <s v="975.19"/>
    <s v="229.39000000000001"/>
    <n v="229.39"/>
    <s v="745.8000000000001"/>
    <n v="1"/>
    <n v="1"/>
    <n v="39"/>
  </r>
  <r>
    <s v="Row308_Row298_Row1_Row175_Row93_Row0_Row0_Row0"/>
    <n v="309"/>
    <s v="RES000309"/>
    <s v="Row659"/>
    <x v="0"/>
    <s v="Row435"/>
    <s v="Row265"/>
    <x v="0"/>
    <s v="Row0"/>
    <s v="Row0"/>
    <s v="935.64"/>
    <n v="3"/>
    <n v="0"/>
    <n v="0"/>
    <n v="4"/>
    <n v="3"/>
    <n v="0"/>
    <n v="0"/>
    <n v="1"/>
    <n v="1"/>
    <s v="935.64"/>
    <s v="76.84"/>
    <n v="76.84"/>
    <s v="858.8"/>
    <n v="1"/>
    <n v="1"/>
    <n v="40"/>
  </r>
  <r>
    <s v="Row309_Row259_Row3_Row43_Row105_Row2_Row0_Row3"/>
    <n v="310"/>
    <s v="RES000310"/>
    <s v="Row551"/>
    <x v="1"/>
    <s v="Row96"/>
    <s v="Row358"/>
    <x v="1"/>
    <s v="Row0"/>
    <s v="Row4"/>
    <s v="2307.46"/>
    <n v="1"/>
    <n v="0"/>
    <n v="0"/>
    <n v="5"/>
    <n v="1"/>
    <n v="0"/>
    <n v="0"/>
    <n v="1"/>
    <n v="1"/>
    <s v="1153.73"/>
    <s v="80.22999999999999"/>
    <n v="80.229999999999905"/>
    <s v="1073.5"/>
    <n v="1"/>
    <n v="1"/>
    <n v="41"/>
  </r>
  <r>
    <s v="Row310_Row427_Row2_Row179_Row18_Row6_Row0_Row1"/>
    <n v="311"/>
    <s v="RES000311"/>
    <s v="Row1047"/>
    <x v="2"/>
    <s v="Row459"/>
    <s v="Row42"/>
    <x v="2"/>
    <s v="Row0"/>
    <s v="Row2"/>
    <s v="5081.61"/>
    <n v="1"/>
    <n v="0"/>
    <n v="0"/>
    <n v="6"/>
    <n v="1"/>
    <n v="0"/>
    <n v="0"/>
    <n v="1"/>
    <n v="1"/>
    <s v="1693.87"/>
    <s v="270.07"/>
    <n v="270.07"/>
    <s v="1423.8"/>
    <n v="1"/>
    <n v="1"/>
    <n v="42"/>
  </r>
  <r>
    <s v="Row311_Row135_Row0_Row120_Row22_Row5_Row0_Row4"/>
    <n v="312"/>
    <s v="RES000312"/>
    <s v="Row260"/>
    <x v="3"/>
    <s v="Row260"/>
    <s v="Row56"/>
    <x v="3"/>
    <s v="Row0"/>
    <s v="Row9"/>
    <s v="296.06"/>
    <n v="1"/>
    <n v="2"/>
    <n v="1"/>
    <n v="1"/>
    <n v="4"/>
    <n v="0"/>
    <n v="0"/>
    <n v="1"/>
    <n v="1"/>
    <s v="296.06"/>
    <s v="47.46"/>
    <n v="47.46"/>
    <s v="248.6"/>
    <n v="1"/>
    <n v="1"/>
    <n v="43"/>
  </r>
  <r>
    <s v="Row312_Row280_Row1_Row49_Row80_Row4_Row0_Row2"/>
    <n v="313"/>
    <s v="RES000313"/>
    <s v="Row602"/>
    <x v="0"/>
    <s v="Row114"/>
    <s v="Row204"/>
    <x v="4"/>
    <s v="Row0"/>
    <s v="Row3"/>
    <s v="1443.24"/>
    <n v="2"/>
    <n v="0"/>
    <n v="0"/>
    <n v="2"/>
    <n v="2"/>
    <n v="0"/>
    <n v="0"/>
    <n v="1"/>
    <n v="1"/>
    <s v="721.62"/>
    <s v="292.22"/>
    <n v="292.22000000000003"/>
    <s v="429.4"/>
    <n v="1"/>
    <n v="1"/>
    <n v="44"/>
  </r>
  <r>
    <s v="Row313_Row413_Row3_Row210_Row28_Row3_Row0_Row0"/>
    <n v="314"/>
    <s v="RES000314"/>
    <s v="Row999"/>
    <x v="1"/>
    <s v="Row618"/>
    <s v="Row74"/>
    <x v="5"/>
    <s v="Row0"/>
    <s v="Row0"/>
    <s v="2612.34"/>
    <n v="2"/>
    <n v="0"/>
    <n v="0"/>
    <n v="3"/>
    <n v="2"/>
    <n v="0"/>
    <n v="0"/>
    <n v="1"/>
    <n v="1"/>
    <s v="870.78"/>
    <s v="192.78"/>
    <n v="192.78"/>
    <n v="678"/>
    <n v="1"/>
    <n v="1"/>
    <n v="45"/>
  </r>
  <r>
    <s v="Row314_Row41_Row2_Row37_Row36_Row1_Row0_Row3"/>
    <n v="315"/>
    <s v="RES000315"/>
    <s v="Row88"/>
    <x v="2"/>
    <s v="Row88"/>
    <s v="Row88"/>
    <x v="6"/>
    <s v="Row0"/>
    <s v="Row4"/>
    <s v="870.1"/>
    <n v="2"/>
    <n v="0"/>
    <n v="0"/>
    <n v="4"/>
    <n v="2"/>
    <n v="0"/>
    <n v="0"/>
    <n v="1"/>
    <n v="1"/>
    <s v="870.1"/>
    <s v="63.28"/>
    <n v="63.28"/>
    <s v="806.82"/>
    <n v="1"/>
    <n v="1"/>
    <n v="46"/>
  </r>
  <r>
    <s v="Row315_Row399_Row0_Row239_Row96_Row0_Row0_Row1"/>
    <n v="316"/>
    <s v="RES000316"/>
    <s v="Row959"/>
    <x v="3"/>
    <s v="Row959"/>
    <s v="Row285"/>
    <x v="0"/>
    <s v="Row0"/>
    <s v="Row2"/>
    <s v="2619.34"/>
    <n v="3"/>
    <n v="1"/>
    <n v="0"/>
    <n v="5"/>
    <n v="4"/>
    <n v="0"/>
    <n v="0"/>
    <n v="1"/>
    <n v="1"/>
    <s v="1309.67"/>
    <s v="66.67"/>
    <n v="66.67"/>
    <n v="1243"/>
    <n v="1"/>
    <n v="1"/>
    <n v="47"/>
  </r>
  <r>
    <s v="Row316_Row141_Row1_Row124_Row56_Row2_Row0_Row4"/>
    <n v="317"/>
    <s v="RES000317"/>
    <s v="Row274"/>
    <x v="0"/>
    <s v="Row274"/>
    <s v="Row137"/>
    <x v="1"/>
    <s v="Row0"/>
    <s v="Row9"/>
    <s v="4674.8099999999995"/>
    <n v="3"/>
    <n v="0"/>
    <n v="0"/>
    <n v="6"/>
    <n v="3"/>
    <n v="0"/>
    <n v="0"/>
    <n v="1"/>
    <n v="1"/>
    <s v="1558.27"/>
    <s v="270.07"/>
    <n v="270.07"/>
    <s v="1288.2"/>
    <n v="1"/>
    <n v="1"/>
    <n v="48"/>
  </r>
  <r>
    <s v="Row317_Row151_Row3_Row67_Row17_Row6_Row0_Row2"/>
    <n v="318"/>
    <s v="RES000318"/>
    <s v="Row300"/>
    <x v="1"/>
    <s v="Row147"/>
    <s v="Row39"/>
    <x v="2"/>
    <s v="Row0"/>
    <s v="Row3"/>
    <s v="287.02"/>
    <n v="3"/>
    <n v="2"/>
    <n v="0"/>
    <n v="1"/>
    <n v="5"/>
    <n v="0"/>
    <n v="0"/>
    <n v="1"/>
    <n v="1"/>
    <s v="287.02"/>
    <s v="61.02"/>
    <n v="61.02"/>
    <s v="225.99999999999997"/>
    <n v="1"/>
    <n v="1"/>
    <n v="49"/>
  </r>
  <r>
    <s v="Row318_Row449_Row2_Row32_Row73_Row5_Row0_Row0"/>
    <n v="319"/>
    <s v="RES000319"/>
    <s v="Row1156"/>
    <x v="2"/>
    <s v="Row78"/>
    <s v="Row175"/>
    <x v="3"/>
    <s v="Row0"/>
    <s v="Row0"/>
    <s v="1498.38"/>
    <n v="3"/>
    <n v="0"/>
    <n v="0"/>
    <n v="2"/>
    <n v="3"/>
    <n v="0"/>
    <n v="0"/>
    <n v="1"/>
    <n v="1"/>
    <s v="749.19"/>
    <s v="274.59"/>
    <n v="274.58999999999997"/>
    <s v="474.6000000000001"/>
    <n v="1"/>
    <n v="1"/>
    <n v="50"/>
  </r>
  <r>
    <s v="Row319_Row96_Row0_Row85_Row31_Row4_Row0_Row3"/>
    <n v="320"/>
    <s v="RES000320"/>
    <s v="Row181"/>
    <x v="3"/>
    <s v="Row181"/>
    <s v="Row80"/>
    <x v="4"/>
    <s v="Row0"/>
    <s v="Row4"/>
    <s v="2790.66"/>
    <n v="1"/>
    <n v="1"/>
    <n v="0"/>
    <n v="3"/>
    <n v="2"/>
    <n v="0"/>
    <n v="0"/>
    <n v="1"/>
    <n v="1"/>
    <s v="930.22"/>
    <s v="221.71"/>
    <n v="221.71"/>
    <s v="708.51"/>
    <n v="1"/>
    <n v="1"/>
    <n v="51"/>
  </r>
  <r>
    <s v="Row320_Row521_Row1_Row262_Row133_Row3_Row2_Row5"/>
    <n v="321"/>
    <s v="RES000321"/>
    <s v="Row1376"/>
    <x v="0"/>
    <s v="Row1376"/>
    <s v="Row1355"/>
    <x v="5"/>
    <s v="Row1350"/>
    <s v="Row1350"/>
    <s v="0"/>
    <n v="1"/>
    <n v="0"/>
    <n v="0"/>
    <n v="4"/>
    <n v="1"/>
    <n v="1"/>
    <n v="0"/>
    <n v="0"/>
    <n v="0"/>
    <s v="271.2"/>
    <n v="0"/>
    <n v="0"/>
    <s v="271.2"/>
    <n v="1"/>
    <n v="0"/>
    <n v="52"/>
  </r>
  <r>
    <s v="Row321_Row604_Row3_Row295_Row132_Row1_Row2_Row5"/>
    <n v="322"/>
    <s v="RES000322"/>
    <s v="Row1489"/>
    <x v="1"/>
    <s v="Row1442"/>
    <s v="Row1354"/>
    <x v="6"/>
    <s v="Row1350"/>
    <s v="Row1350"/>
    <s v="0"/>
    <n v="1"/>
    <n v="0"/>
    <n v="0"/>
    <n v="5"/>
    <n v="1"/>
    <n v="1"/>
    <n v="0"/>
    <n v="0"/>
    <n v="0"/>
    <s v="367.25"/>
    <n v="0"/>
    <n v="0"/>
    <s v="367.25"/>
    <n v="1"/>
    <n v="0"/>
    <n v="53"/>
  </r>
  <r>
    <s v="Row322_Row603_Row2_Row297_Row151_Row0_Row2_Row5"/>
    <n v="323"/>
    <s v="RES000323"/>
    <s v="Row1488"/>
    <x v="2"/>
    <s v="Row1451"/>
    <s v="Row1386"/>
    <x v="0"/>
    <s v="Row1350"/>
    <s v="Row1350"/>
    <s v="0"/>
    <n v="2"/>
    <n v="0"/>
    <n v="0"/>
    <n v="6"/>
    <n v="2"/>
    <n v="1"/>
    <n v="0"/>
    <n v="0"/>
    <n v="0"/>
    <s v="474.6"/>
    <n v="0"/>
    <n v="0"/>
    <s v="474.6"/>
    <n v="1"/>
    <n v="0"/>
    <n v="54"/>
  </r>
  <r>
    <s v="Row323_Row522_Row0_Row263_Row147_Row2_Row3_Row5"/>
    <n v="324"/>
    <s v="RES000324"/>
    <s v="Row1377"/>
    <x v="3"/>
    <s v="Row1377"/>
    <s v="Row1373"/>
    <x v="1"/>
    <s v="Row1351"/>
    <s v="Row1350"/>
    <s v="0"/>
    <n v="2"/>
    <n v="2"/>
    <n v="1"/>
    <n v="1"/>
    <n v="5"/>
    <n v="0"/>
    <n v="1"/>
    <n v="0"/>
    <n v="0"/>
    <s v="76.28"/>
    <n v="0"/>
    <n v="0"/>
    <s v="76.28"/>
    <n v="1"/>
    <n v="0"/>
    <n v="55"/>
  </r>
  <r>
    <s v="Row324_Row378_Row1_Row235_Row70_Row6_Row1_Row4"/>
    <n v="325"/>
    <s v="RES000325"/>
    <s v="Row897"/>
    <x v="0"/>
    <s v="Row897"/>
    <s v="Row167"/>
    <x v="2"/>
    <s v="Row87"/>
    <s v="Row9"/>
    <s v="134.24"/>
    <n v="2"/>
    <n v="0"/>
    <n v="0"/>
    <n v="2"/>
    <n v="2"/>
    <n v="0"/>
    <n v="0"/>
    <n v="0"/>
    <n v="0"/>
    <s v="335.61"/>
    <s v="206.79"/>
    <n v="206.79"/>
    <s v="128.82000000000002"/>
    <n v="1"/>
    <n v="0"/>
    <n v="56"/>
  </r>
  <r>
    <s v="Row325_Row484_Row3_Row148_Row74_Row5_Row1_Row2"/>
    <n v="326"/>
    <s v="RES000326"/>
    <s v="Row1300"/>
    <x v="1"/>
    <s v="Row353"/>
    <s v="Row178"/>
    <x v="3"/>
    <s v="Row87"/>
    <s v="Row3"/>
    <s v="126.11"/>
    <n v="3"/>
    <n v="0"/>
    <n v="0"/>
    <n v="3"/>
    <n v="3"/>
    <n v="0"/>
    <n v="0"/>
    <n v="0"/>
    <n v="0"/>
    <s v="315.27"/>
    <s v="94.92"/>
    <n v="94.92"/>
    <s v="220.34999999999997"/>
    <n v="1"/>
    <n v="0"/>
    <n v="57"/>
  </r>
  <r>
    <s v="Row326_Row439_Row2_Row69_Row50_Row4_Row0_Row2"/>
    <n v="327"/>
    <s v="RES000327"/>
    <s v="Row1105"/>
    <x v="2"/>
    <s v="Row149"/>
    <s v="Row118"/>
    <x v="4"/>
    <s v="Row0"/>
    <s v="Row3"/>
    <s v="379.68"/>
    <n v="3"/>
    <n v="0"/>
    <n v="0"/>
    <n v="4"/>
    <n v="3"/>
    <n v="0"/>
    <n v="0"/>
    <n v="1"/>
    <n v="1"/>
    <s v="379.68"/>
    <s v="63.28"/>
    <n v="63.28"/>
    <s v="316.4"/>
    <n v="1"/>
    <n v="1"/>
    <n v="58"/>
  </r>
  <r>
    <s v="Row327_Row190_Row0_Row158_Row94_Row3_Row0_Row0"/>
    <n v="328"/>
    <s v="RES000328"/>
    <s v="Row381"/>
    <x v="3"/>
    <s v="Row381"/>
    <s v="Row277"/>
    <x v="5"/>
    <s v="Row0"/>
    <s v="Row0"/>
    <s v="972.02"/>
    <n v="3"/>
    <n v="1"/>
    <n v="0"/>
    <n v="5"/>
    <n v="4"/>
    <n v="0"/>
    <n v="0"/>
    <n v="1"/>
    <n v="1"/>
    <s v="486.01"/>
    <s v="62.26"/>
    <n v="62.26"/>
    <s v="423.75"/>
    <n v="1"/>
    <n v="1"/>
    <n v="59"/>
  </r>
  <r>
    <s v="Row328_Row104_Row1_Row94_Row78_Row1_Row0_Row3"/>
    <n v="329"/>
    <s v="RES000329"/>
    <s v="Row198"/>
    <x v="0"/>
    <s v="Row198"/>
    <s v="Row198"/>
    <x v="6"/>
    <s v="Row0"/>
    <s v="Row4"/>
    <s v="2030.6100000000001"/>
    <n v="3"/>
    <n v="0"/>
    <n v="0"/>
    <n v="6"/>
    <n v="3"/>
    <n v="0"/>
    <n v="0"/>
    <n v="1"/>
    <n v="1"/>
    <s v="676.87"/>
    <s v="270.07"/>
    <n v="270.07"/>
    <s v="406.8"/>
    <n v="1"/>
    <n v="1"/>
    <n v="60"/>
  </r>
  <r>
    <s v="Row329_Row454_Row3_Row108_Row42_Row0_Row0_Row1"/>
    <n v="330"/>
    <s v="RES000330"/>
    <s v="Row1185"/>
    <x v="1"/>
    <s v="Row231"/>
    <s v="Row96"/>
    <x v="0"/>
    <s v="Row0"/>
    <s v="Row2"/>
    <s v="123.45"/>
    <n v="1"/>
    <n v="2"/>
    <n v="0"/>
    <n v="1"/>
    <n v="3"/>
    <n v="0"/>
    <n v="0"/>
    <n v="1"/>
    <n v="1"/>
    <s v="123.45"/>
    <s v="61.02"/>
    <n v="61.02"/>
    <s v="62.43"/>
    <n v="1"/>
    <n v="1"/>
    <n v="61"/>
  </r>
  <r>
    <s v="Row330_Row313_Row2_Row172_Row65_Row2_Row0_Row4"/>
    <n v="331"/>
    <s v="RES000331"/>
    <s v="Row694"/>
    <x v="2"/>
    <s v="Row427"/>
    <s v="Row150"/>
    <x v="1"/>
    <s v="Row0"/>
    <s v="Row9"/>
    <s v="865.58"/>
    <n v="1"/>
    <n v="0"/>
    <n v="0"/>
    <n v="2"/>
    <n v="1"/>
    <n v="0"/>
    <n v="0"/>
    <n v="1"/>
    <n v="1"/>
    <s v="432.79"/>
    <s v="274.59"/>
    <n v="274.58999999999997"/>
    <s v="158.20000000000005"/>
    <n v="1"/>
    <n v="1"/>
    <n v="62"/>
  </r>
  <r>
    <s v="Row331_Row401_Row0_Row24_Row0_Row6_Row0_Row2"/>
    <n v="332"/>
    <s v="RES000332"/>
    <s v="Row966"/>
    <x v="3"/>
    <s v="Row56"/>
    <s v="Row0"/>
    <x v="2"/>
    <s v="Row0"/>
    <s v="Row3"/>
    <s v="1450.92"/>
    <n v="1"/>
    <n v="1"/>
    <n v="0"/>
    <n v="3"/>
    <n v="2"/>
    <n v="0"/>
    <n v="0"/>
    <n v="1"/>
    <n v="1"/>
    <s v="483.64"/>
    <s v="229.39000000000001"/>
    <n v="229.39"/>
    <s v="254.24999999999997"/>
    <n v="1"/>
    <n v="1"/>
    <n v="63"/>
  </r>
  <r>
    <s v="Row332_Row266_Row1_Row199_Row20_Row5_Row0_Row0"/>
    <n v="333"/>
    <s v="RES000333"/>
    <s v="Row568"/>
    <x v="0"/>
    <s v="Row568"/>
    <s v="Row48"/>
    <x v="3"/>
    <s v="Row0"/>
    <s v="Row0"/>
    <s v="320.92"/>
    <n v="2"/>
    <n v="0"/>
    <n v="0"/>
    <n v="4"/>
    <n v="2"/>
    <n v="0"/>
    <n v="0"/>
    <n v="1"/>
    <n v="1"/>
    <s v="320.92"/>
    <s v="76.84"/>
    <n v="76.84"/>
    <s v="244.08"/>
    <n v="1"/>
    <n v="1"/>
    <n v="64"/>
  </r>
  <r>
    <s v="Row333_Row381_Row3_Row114_Row68_Row4_Row0_Row3"/>
    <n v="334"/>
    <s v="RES000334"/>
    <s v="Row902"/>
    <x v="1"/>
    <s v="Row247"/>
    <s v="Row162"/>
    <x v="4"/>
    <s v="Row0"/>
    <s v="Row4"/>
    <s v="891.8"/>
    <n v="2"/>
    <n v="0"/>
    <n v="0"/>
    <n v="5"/>
    <n v="2"/>
    <n v="0"/>
    <n v="0"/>
    <n v="1"/>
    <n v="1"/>
    <s v="445.9"/>
    <s v="78.64999999999999"/>
    <n v="78.649999999999906"/>
    <s v="367.25"/>
    <n v="1"/>
    <n v="1"/>
    <n v="65"/>
  </r>
  <r>
    <s v="Row334_Row443_Row2_Row44_Row26_Row3_Row0_Row1"/>
    <n v="335"/>
    <s v="RES000335"/>
    <s v="Row1123"/>
    <x v="2"/>
    <s v="Row98"/>
    <s v="Row65"/>
    <x v="5"/>
    <s v="Row0"/>
    <s v="Row2"/>
    <s v="2158.08"/>
    <n v="2"/>
    <n v="0"/>
    <n v="0"/>
    <n v="6"/>
    <n v="2"/>
    <n v="0"/>
    <n v="0"/>
    <n v="1"/>
    <n v="1"/>
    <s v="719.36"/>
    <s v="268.49"/>
    <n v="268.49"/>
    <s v="450.87"/>
    <n v="1"/>
    <n v="1"/>
    <n v="66"/>
  </r>
  <r>
    <s v="Row335_Row395_Row0_Row201_Row9_Row1_Row0_Row4"/>
    <n v="336"/>
    <s v="RES000336"/>
    <s v="Row939"/>
    <x v="3"/>
    <s v="Row575"/>
    <s v="Row23"/>
    <x v="6"/>
    <s v="Row0"/>
    <s v="Row9"/>
    <s v="132.21"/>
    <n v="3"/>
    <n v="2"/>
    <n v="1"/>
    <n v="1"/>
    <n v="6"/>
    <n v="0"/>
    <n v="0"/>
    <n v="1"/>
    <n v="1"/>
    <s v="132.21"/>
    <s v="47.46"/>
    <n v="47.46"/>
    <s v="84.75"/>
    <n v="1"/>
    <n v="1"/>
    <n v="67"/>
  </r>
  <r>
    <s v="Row336_Row457_Row1_Row60_Row98_Row0_Row0_Row2"/>
    <n v="337"/>
    <s v="RES000337"/>
    <s v="Row1192"/>
    <x v="0"/>
    <s v="Row137"/>
    <s v="Row319"/>
    <x v="0"/>
    <s v="Row0"/>
    <s v="Row3"/>
    <s v="874.62"/>
    <n v="3"/>
    <n v="0"/>
    <n v="0"/>
    <n v="2"/>
    <n v="3"/>
    <n v="0"/>
    <n v="0"/>
    <n v="1"/>
    <n v="1"/>
    <s v="437.31"/>
    <s v="301.71"/>
    <n v="301.70999999999998"/>
    <s v="135.60000000000002"/>
    <n v="1"/>
    <n v="1"/>
    <n v="68"/>
  </r>
  <r>
    <s v="Row337_Row251_Row3_Row17_Row23_Row2_Row0_Row0"/>
    <n v="338"/>
    <s v="RES000338"/>
    <s v="Row531"/>
    <x v="1"/>
    <s v="Row39"/>
    <s v="Row59"/>
    <x v="1"/>
    <s v="Row0"/>
    <s v="Row0"/>
    <s v="1267.8600000000001"/>
    <n v="3"/>
    <n v="0"/>
    <n v="0"/>
    <n v="3"/>
    <n v="3"/>
    <n v="0"/>
    <n v="0"/>
    <n v="1"/>
    <n v="1"/>
    <s v="422.62"/>
    <s v="202.26999999999998"/>
    <n v="202.26999999999899"/>
    <s v="220.35000000000002"/>
    <n v="1"/>
    <n v="1"/>
    <n v="69"/>
  </r>
  <r>
    <s v="Row338_Row441_Row2_Row110_Row30_Row6_Row0_Row3"/>
    <n v="339"/>
    <s v="RES000339"/>
    <s v="Row1119"/>
    <x v="2"/>
    <s v="Row237"/>
    <s v="Row78"/>
    <x v="2"/>
    <s v="Row0"/>
    <s v="Row4"/>
    <s v="379.68"/>
    <n v="3"/>
    <n v="0"/>
    <n v="0"/>
    <n v="4"/>
    <n v="3"/>
    <n v="0"/>
    <n v="0"/>
    <n v="1"/>
    <n v="1"/>
    <s v="379.68"/>
    <s v="63.28"/>
    <n v="63.28"/>
    <s v="316.4"/>
    <n v="1"/>
    <n v="1"/>
    <n v="70"/>
  </r>
  <r>
    <s v="Row339_Row325_Row0_Row218_Row103_Row5_Row0_Row1"/>
    <n v="340"/>
    <s v="RES000340"/>
    <s v="Row727"/>
    <x v="3"/>
    <s v="Row674"/>
    <s v="Row351"/>
    <x v="3"/>
    <s v="Row0"/>
    <s v="Row2"/>
    <s v="938.46"/>
    <n v="1"/>
    <n v="1"/>
    <n v="0"/>
    <n v="5"/>
    <n v="2"/>
    <n v="0"/>
    <n v="0"/>
    <n v="1"/>
    <n v="1"/>
    <s v="469.23"/>
    <s v="66.67"/>
    <n v="66.67"/>
    <s v="402.56"/>
    <n v="1"/>
    <n v="1"/>
    <n v="71"/>
  </r>
  <r>
    <s v="Row340_Row583_Row1_Row299_Row157_Row4_Row2_Row5"/>
    <n v="341"/>
    <s v="RES000341"/>
    <s v="Row1453"/>
    <x v="0"/>
    <s v="Row1453"/>
    <s v="Row1410"/>
    <x v="4"/>
    <s v="Row1350"/>
    <s v="Row1350"/>
    <s v="0"/>
    <n v="1"/>
    <n v="0"/>
    <n v="0"/>
    <n v="6"/>
    <n v="1"/>
    <n v="1"/>
    <n v="0"/>
    <n v="0"/>
    <n v="0"/>
    <s v="406.8"/>
    <n v="0"/>
    <n v="0"/>
    <s v="406.8"/>
    <n v="1"/>
    <n v="0"/>
    <n v="72"/>
  </r>
  <r>
    <s v="Row341_Row601_Row3_Row280_Row141_Row3_Row2_Row5"/>
    <n v="342"/>
    <s v="RES000342"/>
    <s v="Row1485"/>
    <x v="1"/>
    <s v="Row1406"/>
    <s v="Row1364"/>
    <x v="5"/>
    <s v="Row1350"/>
    <s v="Row1350"/>
    <s v="0"/>
    <n v="1"/>
    <n v="2"/>
    <n v="0"/>
    <n v="1"/>
    <n v="3"/>
    <n v="1"/>
    <n v="0"/>
    <n v="0"/>
    <n v="0"/>
    <s v="66.11"/>
    <n v="0"/>
    <n v="0"/>
    <s v="66.11"/>
    <n v="1"/>
    <n v="0"/>
    <n v="73"/>
  </r>
  <r>
    <s v="Row342_Row532_Row2_Row270_Row152_Row1_Row2_Row5"/>
    <n v="343"/>
    <s v="RES000343"/>
    <s v="Row1389"/>
    <x v="2"/>
    <s v="Row1389"/>
    <s v="Row1389"/>
    <x v="6"/>
    <s v="Row1350"/>
    <s v="Row1350"/>
    <s v="0"/>
    <n v="2"/>
    <n v="0"/>
    <n v="0"/>
    <n v="2"/>
    <n v="2"/>
    <n v="1"/>
    <n v="0"/>
    <n v="0"/>
    <n v="0"/>
    <s v="158.2"/>
    <n v="0"/>
    <n v="0"/>
    <s v="158.2"/>
    <n v="1"/>
    <n v="0"/>
    <n v="74"/>
  </r>
  <r>
    <s v="Row343_Row614_Row0_Row260_Row131_Row0_Row3_Row5"/>
    <n v="344"/>
    <s v="RES000344"/>
    <s v="Row1514"/>
    <x v="3"/>
    <s v="Row1373"/>
    <s v="Row1353"/>
    <x v="0"/>
    <s v="Row1351"/>
    <s v="Row1350"/>
    <s v="0"/>
    <n v="2"/>
    <n v="1"/>
    <n v="0"/>
    <n v="3"/>
    <n v="3"/>
    <n v="0"/>
    <n v="1"/>
    <n v="0"/>
    <n v="0"/>
    <s v="254.25"/>
    <n v="0"/>
    <n v="0"/>
    <s v="254.25"/>
    <n v="1"/>
    <n v="0"/>
    <n v="75"/>
  </r>
  <r>
    <s v="Row344_Row421_Row1_Row77_Row108_Row2_Row1_Row2"/>
    <n v="345"/>
    <s v="RES000345"/>
    <s v="Row1019"/>
    <x v="0"/>
    <s v="Row167"/>
    <s v="Row372"/>
    <x v="1"/>
    <s v="Row87"/>
    <s v="Row3"/>
    <s v="122.94"/>
    <n v="2"/>
    <n v="0"/>
    <n v="0"/>
    <n v="4"/>
    <n v="2"/>
    <n v="0"/>
    <n v="0"/>
    <n v="0"/>
    <n v="0"/>
    <s v="307.36"/>
    <s v="76.84"/>
    <n v="76.84"/>
    <s v="230.52"/>
    <n v="1"/>
    <n v="0"/>
    <n v="76"/>
  </r>
  <r>
    <s v="Row345_Row451_Row3_Row83_Row60_Row6_Row1_Row0"/>
    <n v="346"/>
    <s v="RES000346"/>
    <s v="Row1164"/>
    <x v="1"/>
    <s v="Row178"/>
    <s v="Row144"/>
    <x v="2"/>
    <s v="Row87"/>
    <s v="Row0"/>
    <s v="172.66"/>
    <n v="3"/>
    <n v="0"/>
    <n v="0"/>
    <n v="5"/>
    <n v="3"/>
    <n v="0"/>
    <n v="0"/>
    <n v="0"/>
    <n v="0"/>
    <s v="431.66"/>
    <s v="64.41"/>
    <n v="64.41"/>
    <s v="367.25"/>
    <n v="1"/>
    <n v="0"/>
    <n v="77"/>
  </r>
  <r>
    <s v="Row346_Row435_Row2_Row129_Row64_Row5_Row0_Row0"/>
    <n v="347"/>
    <s v="RES000347"/>
    <s v="Row1087"/>
    <x v="2"/>
    <s v="Row301"/>
    <s v="Row149"/>
    <x v="3"/>
    <s v="Row0"/>
    <s v="Row0"/>
    <s v="2171.9700000000003"/>
    <n v="3"/>
    <n v="0"/>
    <n v="0"/>
    <n v="6"/>
    <n v="3"/>
    <n v="0"/>
    <n v="0"/>
    <n v="1"/>
    <n v="1"/>
    <s v="723.99"/>
    <s v="249.39000000000001"/>
    <n v="249.39"/>
    <s v="474.6"/>
    <n v="1"/>
    <n v="1"/>
    <n v="78"/>
  </r>
  <r>
    <s v="Row347_Row456_Row0_Row161_Row32_Row4_Row0_Row3"/>
    <n v="348"/>
    <s v="RES000348"/>
    <s v="Row1191"/>
    <x v="3"/>
    <s v="Row392"/>
    <s v="Row82"/>
    <x v="4"/>
    <s v="Row0"/>
    <s v="Row4"/>
    <s v="132.21"/>
    <n v="3"/>
    <n v="2"/>
    <n v="1"/>
    <n v="1"/>
    <n v="6"/>
    <n v="0"/>
    <n v="0"/>
    <n v="1"/>
    <n v="1"/>
    <s v="132.21"/>
    <s v="47.46"/>
    <n v="47.46"/>
    <s v="84.75"/>
    <n v="1"/>
    <n v="1"/>
    <n v="79"/>
  </r>
  <r>
    <s v="Row348_Row310_Row1_Row212_Row21_Row3_Row0_Row1"/>
    <n v="349"/>
    <s v="RES000349"/>
    <s v="Row687"/>
    <x v="0"/>
    <s v="Row631"/>
    <s v="Row51"/>
    <x v="5"/>
    <s v="Row0"/>
    <s v="Row2"/>
    <s v="833.26"/>
    <n v="3"/>
    <n v="0"/>
    <n v="0"/>
    <n v="2"/>
    <n v="3"/>
    <n v="0"/>
    <n v="0"/>
    <n v="1"/>
    <n v="1"/>
    <s v="416.63"/>
    <s v="281.03000000000003"/>
    <n v="281.02999999999997"/>
    <s v="135.59999999999997"/>
    <n v="1"/>
    <n v="1"/>
    <n v="80"/>
  </r>
  <r>
    <s v="Row349_Row5_Row3_Row5_Row5_Row1_Row0_Row4"/>
    <n v="350"/>
    <s v="RES000350"/>
    <s v="Row9"/>
    <x v="1"/>
    <s v="Row9"/>
    <s v="Row9"/>
    <x v="6"/>
    <s v="Row0"/>
    <s v="Row9"/>
    <s v="1234.8000000000002"/>
    <n v="1"/>
    <n v="0"/>
    <n v="0"/>
    <n v="3"/>
    <n v="1"/>
    <n v="0"/>
    <n v="0"/>
    <n v="1"/>
    <n v="1"/>
    <s v="411.6"/>
    <s v="202.26999999999998"/>
    <n v="202.26999999999899"/>
    <s v="209.33000000000004"/>
    <n v="1"/>
    <n v="1"/>
    <n v="81"/>
  </r>
  <r>
    <s v="Row350_Row166_Row2_Row2_Row100_Row0_Row0_Row2"/>
    <n v="351"/>
    <s v="RES000351"/>
    <s v="Row332"/>
    <x v="2"/>
    <s v="Row3"/>
    <s v="Row332"/>
    <x v="0"/>
    <s v="Row0"/>
    <s v="Row3"/>
    <s v="348.04"/>
    <n v="1"/>
    <n v="0"/>
    <n v="0"/>
    <n v="4"/>
    <n v="1"/>
    <n v="0"/>
    <n v="0"/>
    <n v="1"/>
    <n v="1"/>
    <s v="348.04"/>
    <s v="63.28"/>
    <n v="63.28"/>
    <s v="284.76"/>
    <n v="1"/>
    <n v="1"/>
    <n v="82"/>
  </r>
  <r>
    <s v="Row351_Row480_Row0_Row0_Row122_Row2_Row0_Row0"/>
    <n v="352"/>
    <s v="RES000352"/>
    <s v="Row1278"/>
    <x v="3"/>
    <s v="Row0"/>
    <s v="Row555"/>
    <x v="1"/>
    <s v="Row0"/>
    <s v="Row0"/>
    <s v="980.84"/>
    <n v="1"/>
    <n v="1"/>
    <n v="0"/>
    <n v="5"/>
    <n v="2"/>
    <n v="0"/>
    <n v="0"/>
    <n v="1"/>
    <n v="1"/>
    <s v="490.42"/>
    <s v="66.67"/>
    <n v="66.67"/>
    <s v="423.75"/>
    <n v="1"/>
    <n v="1"/>
    <n v="83"/>
  </r>
  <r>
    <s v="Row352_Row261_Row1_Row197_Row123_Row6_Row0_Row3"/>
    <n v="353"/>
    <s v="RES000353"/>
    <s v="Row559"/>
    <x v="0"/>
    <s v="Row559"/>
    <s v="Row559"/>
    <x v="2"/>
    <s v="Row0"/>
    <s v="Row4"/>
    <s v="2030.6100000000001"/>
    <n v="2"/>
    <n v="0"/>
    <n v="0"/>
    <n v="6"/>
    <n v="2"/>
    <n v="0"/>
    <n v="0"/>
    <n v="1"/>
    <n v="1"/>
    <s v="676.87"/>
    <s v="270.07"/>
    <n v="270.07"/>
    <s v="406.8"/>
    <n v="1"/>
    <n v="1"/>
    <n v="84"/>
  </r>
  <r>
    <s v="Row353_Row152_Row3_Row41_Row89_Row5_Row0_Row1"/>
    <n v="354"/>
    <s v="RES000354"/>
    <s v="Row304"/>
    <x v="1"/>
    <s v="Row94"/>
    <s v="Row247"/>
    <x v="3"/>
    <s v="Row0"/>
    <s v="Row2"/>
    <s v="134.47"/>
    <n v="2"/>
    <n v="2"/>
    <n v="0"/>
    <n v="1"/>
    <n v="4"/>
    <n v="0"/>
    <n v="0"/>
    <n v="1"/>
    <n v="1"/>
    <s v="134.47"/>
    <s v="61.02"/>
    <n v="61.02"/>
    <s v="73.44999999999999"/>
    <n v="1"/>
    <n v="1"/>
    <n v="85"/>
  </r>
  <r>
    <s v="Row354_Row66_Row2_Row59_Row43_Row4_Row0_Row4"/>
    <n v="355"/>
    <s v="RES000355"/>
    <s v="Row135"/>
    <x v="2"/>
    <s v="Row135"/>
    <s v="Row98"/>
    <x v="4"/>
    <s v="Row0"/>
    <s v="Row9"/>
    <s v="832.14"/>
    <n v="2"/>
    <n v="0"/>
    <n v="0"/>
    <n v="2"/>
    <n v="2"/>
    <n v="0"/>
    <n v="0"/>
    <n v="1"/>
    <n v="1"/>
    <s v="416.07"/>
    <s v="265.78"/>
    <n v="265.77999999999997"/>
    <s v="150.29000000000002"/>
    <n v="1"/>
    <n v="1"/>
    <n v="86"/>
  </r>
  <r>
    <s v="Row355_Row327_Row0_Row223_Row79_Row3_Row0_Row2"/>
    <n v="356"/>
    <s v="RES000356"/>
    <s v="Row730"/>
    <x v="3"/>
    <s v="Row730"/>
    <s v="Row202"/>
    <x v="5"/>
    <s v="Row0"/>
    <s v="Row3"/>
    <s v="1424.49"/>
    <n v="3"/>
    <n v="1"/>
    <n v="0"/>
    <n v="3"/>
    <n v="4"/>
    <n v="0"/>
    <n v="0"/>
    <n v="1"/>
    <n v="1"/>
    <s v="474.83"/>
    <s v="220.58"/>
    <n v="220.58"/>
    <s v="254.24999999999997"/>
    <n v="1"/>
    <n v="1"/>
    <n v="87"/>
  </r>
  <r>
    <s v="Row356_Row38_Row1_Row31_Row33_Row1_Row0_Row0"/>
    <n v="357"/>
    <s v="RES000357"/>
    <s v="Row84"/>
    <x v="0"/>
    <s v="Row77"/>
    <s v="Row84"/>
    <x v="6"/>
    <s v="Row0"/>
    <s v="Row0"/>
    <s v="348.04"/>
    <n v="3"/>
    <n v="0"/>
    <n v="0"/>
    <n v="4"/>
    <n v="3"/>
    <n v="0"/>
    <n v="0"/>
    <n v="1"/>
    <n v="1"/>
    <s v="348.04"/>
    <s v="76.84"/>
    <n v="76.84"/>
    <s v="271.20000000000005"/>
    <n v="1"/>
    <n v="1"/>
    <n v="88"/>
  </r>
  <r>
    <s v="Row357_Row252_Row3_Row25_Row107_Row0_Row0_Row3"/>
    <n v="358"/>
    <s v="RES000358"/>
    <s v="Row534"/>
    <x v="1"/>
    <s v="Row59"/>
    <s v="Row363"/>
    <x v="0"/>
    <s v="Row0"/>
    <s v="Row4"/>
    <s v="894.96"/>
    <n v="3"/>
    <n v="0"/>
    <n v="0"/>
    <n v="5"/>
    <n v="3"/>
    <n v="0"/>
    <n v="0"/>
    <n v="1"/>
    <n v="1"/>
    <s v="447.48"/>
    <s v="80.22999999999999"/>
    <n v="80.229999999999905"/>
    <s v="367.25"/>
    <n v="1"/>
    <n v="1"/>
    <n v="89"/>
  </r>
  <r>
    <s v="Row358_Row336_Row2_Row89_Row3_Row2_Row0_Row1"/>
    <n v="359"/>
    <s v="RES000359"/>
    <s v="Row762"/>
    <x v="2"/>
    <s v="Row189"/>
    <s v="Row4"/>
    <x v="1"/>
    <s v="Row0"/>
    <s v="Row2"/>
    <s v="2234.0099999999998"/>
    <n v="3"/>
    <n v="0"/>
    <n v="0"/>
    <n v="6"/>
    <n v="3"/>
    <n v="0"/>
    <n v="0"/>
    <n v="1"/>
    <n v="1"/>
    <s v="744.67"/>
    <s v="270.07"/>
    <n v="270.07"/>
    <s v="474.59999999999997"/>
    <n v="1"/>
    <n v="1"/>
    <n v="90"/>
  </r>
  <r>
    <s v="Row359_Row144_Row0_Row127_Row87_Row6_Row0_Row4"/>
    <n v="360"/>
    <s v="RES000360"/>
    <s v="Row284"/>
    <x v="3"/>
    <s v="Row284"/>
    <s v="Row230"/>
    <x v="2"/>
    <s v="Row0"/>
    <s v="Row9"/>
    <s v="119.5"/>
    <n v="1"/>
    <n v="2"/>
    <n v="1"/>
    <n v="1"/>
    <n v="4"/>
    <n v="0"/>
    <n v="0"/>
    <n v="1"/>
    <n v="1"/>
    <s v="119.5"/>
    <s v="47.46"/>
    <n v="47.46"/>
    <s v="72.03999999999999"/>
    <n v="1"/>
    <n v="1"/>
    <n v="1"/>
  </r>
  <r>
    <s v="Row360_Row542_Row1_Row276_Row128_Row5_Row2_Row5"/>
    <n v="361"/>
    <s v="RES000361"/>
    <s v="Row1399"/>
    <x v="0"/>
    <s v="Row1399"/>
    <s v="Row1350"/>
    <x v="3"/>
    <s v="Row1350"/>
    <s v="Row1350"/>
    <s v="0"/>
    <n v="1"/>
    <n v="0"/>
    <n v="0"/>
    <n v="2"/>
    <n v="1"/>
    <n v="1"/>
    <n v="0"/>
    <n v="0"/>
    <n v="0"/>
    <s v="205.66"/>
    <n v="0"/>
    <n v="0"/>
    <s v="205.66"/>
    <n v="1"/>
    <n v="0"/>
    <n v="2"/>
  </r>
  <r>
    <s v="Row361_Row577_Row3_Row253_Row158_Row4_Row2_Row5"/>
    <n v="362"/>
    <s v="RES000362"/>
    <s v="Row1445"/>
    <x v="1"/>
    <s v="Row1364"/>
    <s v="Row1436"/>
    <x v="4"/>
    <s v="Row1350"/>
    <s v="Row1350"/>
    <s v="0"/>
    <n v="1"/>
    <n v="0"/>
    <n v="0"/>
    <n v="3"/>
    <n v="1"/>
    <n v="1"/>
    <n v="0"/>
    <n v="0"/>
    <n v="0"/>
    <s v="328.83"/>
    <n v="0"/>
    <n v="0"/>
    <s v="328.83"/>
    <n v="1"/>
    <n v="0"/>
    <n v="3"/>
  </r>
  <r>
    <s v="Row362_Row582_Row2_Row298_Row140_Row3_Row2_Row5"/>
    <n v="363"/>
    <s v="RES000363"/>
    <s v="Row1452"/>
    <x v="2"/>
    <s v="Row1452"/>
    <s v="Row1362"/>
    <x v="5"/>
    <s v="Row1350"/>
    <s v="Row1350"/>
    <s v="0"/>
    <n v="2"/>
    <n v="0"/>
    <n v="0"/>
    <n v="4"/>
    <n v="2"/>
    <n v="1"/>
    <n v="0"/>
    <n v="0"/>
    <n v="0"/>
    <s v="465.56"/>
    <n v="0"/>
    <n v="0"/>
    <s v="465.56"/>
    <n v="1"/>
    <n v="0"/>
    <n v="4"/>
  </r>
  <r>
    <s v="Row363_Row608_Row0_Row243_Row146_Row1_Row3_Row5"/>
    <n v="364"/>
    <s v="RES000364"/>
    <s v="Row1499"/>
    <x v="3"/>
    <s v="Row1353"/>
    <s v="Row1372"/>
    <x v="6"/>
    <s v="Row1351"/>
    <s v="Row1350"/>
    <s v="0"/>
    <n v="2"/>
    <n v="1"/>
    <n v="0"/>
    <n v="5"/>
    <n v="3"/>
    <n v="0"/>
    <n v="1"/>
    <n v="0"/>
    <n v="0"/>
    <s v="615.85"/>
    <n v="0"/>
    <n v="0"/>
    <s v="615.85"/>
    <n v="1"/>
    <n v="0"/>
    <n v="5"/>
  </r>
  <r>
    <s v="Row364_Row215_Row1_Row176_Row111_Row0_Row1_Row0"/>
    <n v="365"/>
    <s v="RES000365"/>
    <s v="Row440"/>
    <x v="0"/>
    <s v="Row440"/>
    <s v="Row384"/>
    <x v="0"/>
    <s v="Row87"/>
    <s v="Row0"/>
    <s v="243.49"/>
    <n v="2"/>
    <n v="0"/>
    <n v="0"/>
    <n v="6"/>
    <n v="2"/>
    <n v="0"/>
    <n v="0"/>
    <n v="0"/>
    <n v="0"/>
    <s v="608.73"/>
    <s v="22.6"/>
    <n v="22.6"/>
    <s v="586.13"/>
    <n v="1"/>
    <n v="0"/>
    <n v="6"/>
  </r>
  <r>
    <s v="Row365_Row43_Row3_Row39_Row38_Row2_Row1_Row3"/>
    <n v="366"/>
    <s v="RES000366"/>
    <s v="Row91"/>
    <x v="1"/>
    <s v="Row91"/>
    <s v="Row91"/>
    <x v="1"/>
    <s v="Row87"/>
    <s v="Row4"/>
    <s v="68.25"/>
    <n v="3"/>
    <n v="2"/>
    <n v="0"/>
    <n v="1"/>
    <n v="5"/>
    <n v="0"/>
    <n v="0"/>
    <n v="0"/>
    <n v="0"/>
    <s v="170.63"/>
    <s v="61.02"/>
    <n v="61.02"/>
    <s v="109.60999999999999"/>
    <n v="1"/>
    <n v="0"/>
    <n v="7"/>
  </r>
  <r>
    <s v="Row366_Row389_Row2_Row72_Row82_Row6_Row0_Row3"/>
    <n v="367"/>
    <s v="RES000367"/>
    <s v="Row922"/>
    <x v="2"/>
    <s v="Row157"/>
    <s v="Row210"/>
    <x v="2"/>
    <s v="Row0"/>
    <s v="Row4"/>
    <s v="1014.74"/>
    <n v="3"/>
    <n v="0"/>
    <n v="0"/>
    <n v="2"/>
    <n v="3"/>
    <n v="0"/>
    <n v="0"/>
    <n v="1"/>
    <n v="1"/>
    <s v="507.37"/>
    <s v="274.59"/>
    <n v="274.58999999999997"/>
    <s v="232.78000000000003"/>
    <n v="1"/>
    <n v="1"/>
    <n v="8"/>
  </r>
  <r>
    <s v="Row367_Row331_Row0_Row73_Row63_Row5_Row0_Row1"/>
    <n v="368"/>
    <s v="RES000368"/>
    <s v="Row739"/>
    <x v="3"/>
    <s v="Row159"/>
    <s v="Row148"/>
    <x v="3"/>
    <s v="Row0"/>
    <s v="Row2"/>
    <s v="1777.38"/>
    <n v="3"/>
    <n v="1"/>
    <n v="0"/>
    <n v="3"/>
    <n v="4"/>
    <n v="0"/>
    <n v="0"/>
    <n v="1"/>
    <n v="1"/>
    <s v="592.46"/>
    <s v="222.95000000000002"/>
    <n v="222.95"/>
    <s v="369.51"/>
    <n v="1"/>
    <n v="1"/>
    <n v="9"/>
  </r>
  <r>
    <s v="Row368_Row217_Row1_Row177_Row16_Row4_Row0_Row4"/>
    <n v="369"/>
    <s v="RES000369"/>
    <s v="Row443"/>
    <x v="0"/>
    <s v="Row443"/>
    <s v="Row37"/>
    <x v="4"/>
    <s v="Row0"/>
    <s v="Row9"/>
    <s v="447.03"/>
    <n v="3"/>
    <n v="0"/>
    <n v="0"/>
    <n v="4"/>
    <n v="3"/>
    <n v="0"/>
    <n v="0"/>
    <n v="1"/>
    <n v="1"/>
    <s v="447.03"/>
    <s v="76.84"/>
    <n v="76.84"/>
    <s v="370.18999999999994"/>
    <n v="1"/>
    <n v="1"/>
    <n v="10"/>
  </r>
  <r>
    <s v="Row369_Row229_Row3_Row4_Row48_Row3_Row0_Row2"/>
    <n v="370"/>
    <s v="RES000370"/>
    <s v="Row478"/>
    <x v="1"/>
    <s v="Row7"/>
    <s v="Row111"/>
    <x v="5"/>
    <s v="Row0"/>
    <s v="Row3"/>
    <s v="1188.88"/>
    <n v="1"/>
    <n v="0"/>
    <n v="0"/>
    <n v="5"/>
    <n v="1"/>
    <n v="0"/>
    <n v="0"/>
    <n v="1"/>
    <n v="1"/>
    <s v="594.44"/>
    <s v="73.78999999999999"/>
    <n v="73.789999999999907"/>
    <s v="520.6500000000001"/>
    <n v="1"/>
    <n v="1"/>
    <n v="11"/>
  </r>
  <r>
    <s v="Row370_Row486_Row2_Row213_Row2_Row1_Row0_Row0"/>
    <n v="371"/>
    <s v="RES000371"/>
    <s v="Row1303"/>
    <x v="2"/>
    <s v="Row633"/>
    <s v="Row3"/>
    <x v="6"/>
    <s v="Row0"/>
    <s v="Row0"/>
    <s v="2905.23"/>
    <n v="1"/>
    <n v="0"/>
    <n v="0"/>
    <n v="6"/>
    <n v="1"/>
    <n v="0"/>
    <n v="0"/>
    <n v="1"/>
    <n v="1"/>
    <s v="968.41"/>
    <s v="270.07"/>
    <n v="270.07"/>
    <s v="698.3399999999999"/>
    <n v="1"/>
    <n v="1"/>
    <n v="12"/>
  </r>
  <r>
    <s v="Row371_Row440_Row0_Row192_Row84_Row0_Row0_Row3"/>
    <n v="372"/>
    <s v="RES000372"/>
    <s v="Row1118"/>
    <x v="3"/>
    <s v="Row539"/>
    <s v="Row218"/>
    <x v="0"/>
    <s v="Row0"/>
    <s v="Row4"/>
    <s v="170.63"/>
    <n v="1"/>
    <n v="2"/>
    <n v="1"/>
    <n v="1"/>
    <n v="4"/>
    <n v="0"/>
    <n v="0"/>
    <n v="1"/>
    <n v="1"/>
    <s v="170.63"/>
    <s v="47.46"/>
    <n v="47.46"/>
    <s v="123.16999999999999"/>
    <n v="1"/>
    <n v="1"/>
    <n v="13"/>
  </r>
  <r>
    <s v="Row372_Row209_Row1_Row170_Row72_Row2_Row0_Row1"/>
    <n v="373"/>
    <s v="RES000373"/>
    <s v="Row424"/>
    <x v="0"/>
    <s v="Row424"/>
    <s v="Row172"/>
    <x v="1"/>
    <s v="Row0"/>
    <s v="Row2"/>
    <s v="1014.74"/>
    <n v="2"/>
    <n v="0"/>
    <n v="0"/>
    <n v="2"/>
    <n v="2"/>
    <n v="0"/>
    <n v="0"/>
    <n v="1"/>
    <n v="1"/>
    <s v="507.37"/>
    <s v="301.71"/>
    <n v="301.70999999999998"/>
    <s v="205.66000000000003"/>
    <n v="1"/>
    <n v="1"/>
    <n v="14"/>
  </r>
  <r>
    <s v="Row373_Row149_Row3_Row112_Row40_Row6_Row0_Row4"/>
    <n v="374"/>
    <s v="RES000374"/>
    <s v="Row293"/>
    <x v="1"/>
    <s v="Row241"/>
    <s v="Row94"/>
    <x v="2"/>
    <s v="Row0"/>
    <s v="Row9"/>
    <s v="1593.3000000000002"/>
    <n v="2"/>
    <n v="0"/>
    <n v="0"/>
    <n v="3"/>
    <n v="2"/>
    <n v="0"/>
    <n v="0"/>
    <n v="1"/>
    <n v="1"/>
    <s v="531.1"/>
    <s v="202.26999999999998"/>
    <n v="202.26999999999899"/>
    <s v="328.83000000000004"/>
    <n v="1"/>
    <n v="1"/>
    <n v="15"/>
  </r>
  <r>
    <s v="Row374_Row356_Row2_Row52_Row27_Row5_Row0_Row2"/>
    <n v="375"/>
    <s v="RES000375"/>
    <s v="Row827"/>
    <x v="2"/>
    <s v="Row121"/>
    <s v="Row68"/>
    <x v="3"/>
    <s v="Row0"/>
    <s v="Row3"/>
    <s v="459.01"/>
    <n v="2"/>
    <n v="0"/>
    <n v="0"/>
    <n v="4"/>
    <n v="2"/>
    <n v="0"/>
    <n v="0"/>
    <n v="1"/>
    <n v="1"/>
    <s v="459.01"/>
    <s v="63.28"/>
    <n v="63.28"/>
    <s v="395.73"/>
    <n v="1"/>
    <n v="1"/>
    <n v="16"/>
  </r>
  <r>
    <s v="Row375_Row248_Row0_Row96_Row99_Row4_Row0_Row0"/>
    <n v="376"/>
    <s v="RES000376"/>
    <s v="Row524"/>
    <x v="3"/>
    <s v="Row202"/>
    <s v="Row327"/>
    <x v="4"/>
    <s v="Row0"/>
    <s v="Row0"/>
    <s v="1360.52"/>
    <n v="3"/>
    <n v="1"/>
    <n v="0"/>
    <n v="5"/>
    <n v="4"/>
    <n v="0"/>
    <n v="0"/>
    <n v="1"/>
    <n v="1"/>
    <s v="680.26"/>
    <s v="64.41"/>
    <n v="64.41"/>
    <s v="615.85"/>
    <n v="1"/>
    <n v="1"/>
    <n v="17"/>
  </r>
  <r>
    <s v="Row376_Row445_Row1_Row193_Row29_Row3_Row0_Row3"/>
    <n v="377"/>
    <s v="RES000377"/>
    <s v="Row1140"/>
    <x v="0"/>
    <s v="Row544"/>
    <s v="Row77"/>
    <x v="5"/>
    <s v="Row0"/>
    <s v="Row4"/>
    <s v="2654.37"/>
    <n v="3"/>
    <n v="0"/>
    <n v="0"/>
    <n v="6"/>
    <n v="3"/>
    <n v="0"/>
    <n v="0"/>
    <n v="1"/>
    <n v="1"/>
    <s v="884.79"/>
    <s v="267.81"/>
    <n v="267.81"/>
    <s v="616.98"/>
    <n v="1"/>
    <n v="1"/>
    <n v="18"/>
  </r>
  <r>
    <s v="Row377_Row91_Row3_Row81_Row66_Row1_Row0_Row1"/>
    <n v="378"/>
    <s v="RES000378"/>
    <s v="Row174"/>
    <x v="1"/>
    <s v="Row174"/>
    <s v="Row154"/>
    <x v="6"/>
    <s v="Row0"/>
    <s v="Row2"/>
    <s v="159.67"/>
    <n v="3"/>
    <n v="2"/>
    <n v="0"/>
    <n v="1"/>
    <n v="5"/>
    <n v="0"/>
    <n v="0"/>
    <n v="1"/>
    <n v="1"/>
    <s v="159.67"/>
    <s v="61.02"/>
    <n v="61.02"/>
    <s v="98.64999999999998"/>
    <n v="1"/>
    <n v="1"/>
    <n v="19"/>
  </r>
  <r>
    <s v="Row378_Row95_Row2_Row84_Row6_Row0_Row0_Row4"/>
    <n v="379"/>
    <s v="RES000379"/>
    <s v="Row179"/>
    <x v="2"/>
    <s v="Row179"/>
    <s v="Row12"/>
    <x v="0"/>
    <s v="Row0"/>
    <s v="Row9"/>
    <s v="1014.74"/>
    <n v="3"/>
    <n v="0"/>
    <n v="0"/>
    <n v="2"/>
    <n v="3"/>
    <n v="0"/>
    <n v="0"/>
    <n v="1"/>
    <n v="1"/>
    <s v="507.37"/>
    <s v="274.59"/>
    <n v="274.58999999999997"/>
    <s v="232.78000000000003"/>
    <n v="1"/>
    <n v="1"/>
    <n v="20"/>
  </r>
  <r>
    <s v="Row379_Row406_Row0_Row229_Row44_Row2_Row0_Row2"/>
    <n v="380"/>
    <s v="RES000380"/>
    <s v="Row976"/>
    <x v="3"/>
    <s v="Row831"/>
    <s v="Row101"/>
    <x v="1"/>
    <s v="Row0"/>
    <s v="Row3"/>
    <s v="1741.2599999999998"/>
    <n v="1"/>
    <n v="1"/>
    <n v="0"/>
    <n v="3"/>
    <n v="2"/>
    <n v="0"/>
    <n v="0"/>
    <n v="1"/>
    <n v="1"/>
    <s v="580.42"/>
    <s v="229.39000000000001"/>
    <n v="229.39"/>
    <s v="351.03"/>
    <n v="1"/>
    <n v="1"/>
    <n v="21"/>
  </r>
  <r>
    <s v="Row380_Row525_Row1_Row240_Row139_Row6_Row2_Row5"/>
    <n v="381"/>
    <s v="RES000381"/>
    <s v="Row1381"/>
    <x v="0"/>
    <s v="Row1350"/>
    <s v="Row1361"/>
    <x v="2"/>
    <s v="Row1350"/>
    <s v="Row1350"/>
    <s v="0"/>
    <n v="1"/>
    <n v="0"/>
    <n v="0"/>
    <n v="4"/>
    <n v="1"/>
    <n v="1"/>
    <n v="0"/>
    <n v="0"/>
    <n v="0"/>
    <s v="411.32"/>
    <n v="0"/>
    <n v="0"/>
    <s v="411.32"/>
    <n v="1"/>
    <n v="0"/>
    <n v="22"/>
  </r>
  <r>
    <s v="Row381_Row506_Row3_Row248_Row138_Row5_Row2_Row5"/>
    <n v="382"/>
    <s v="RES000382"/>
    <s v="Row1360"/>
    <x v="1"/>
    <s v="Row1358"/>
    <s v="Row1360"/>
    <x v="3"/>
    <s v="Row1350"/>
    <s v="Row1350"/>
    <s v="0"/>
    <n v="1"/>
    <n v="0"/>
    <n v="0"/>
    <n v="5"/>
    <n v="1"/>
    <n v="1"/>
    <n v="0"/>
    <n v="0"/>
    <n v="0"/>
    <s v="548.05"/>
    <n v="0"/>
    <n v="0"/>
    <s v="548.05"/>
    <n v="1"/>
    <n v="0"/>
    <n v="23"/>
  </r>
  <r>
    <s v="Row382_Row619_Row2_Row274_Row156_Row4_Row2_Row5"/>
    <n v="383"/>
    <s v="RES000383"/>
    <s v="Row1527"/>
    <x v="2"/>
    <s v="Row1397"/>
    <s v="Row1408"/>
    <x v="4"/>
    <s v="Row1350"/>
    <s v="Row1350"/>
    <s v="0"/>
    <n v="2"/>
    <n v="0"/>
    <n v="0"/>
    <n v="6"/>
    <n v="2"/>
    <n v="1"/>
    <n v="0"/>
    <n v="0"/>
    <n v="0"/>
    <s v="698.34"/>
    <n v="0"/>
    <n v="0"/>
    <s v="698.34"/>
    <n v="1"/>
    <n v="0"/>
    <n v="24"/>
  </r>
  <r>
    <s v="Row383_Row502_Row0_Row246_Row134_Row3_Row3_Row5"/>
    <n v="384"/>
    <s v="RES000384"/>
    <s v="Row1356"/>
    <x v="3"/>
    <s v="Row1356"/>
    <s v="Row1356"/>
    <x v="5"/>
    <s v="Row1351"/>
    <s v="Row1350"/>
    <s v="0"/>
    <n v="2"/>
    <n v="2"/>
    <n v="1"/>
    <n v="1"/>
    <n v="5"/>
    <n v="0"/>
    <n v="1"/>
    <n v="0"/>
    <n v="0"/>
    <s v="123.17"/>
    <n v="0"/>
    <n v="0"/>
    <s v="123.17"/>
    <n v="1"/>
    <n v="0"/>
    <n v="25"/>
  </r>
  <r>
    <s v="Row384_Row274_Row1_Row205_Row62_Row1_Row1_Row3"/>
    <n v="385"/>
    <s v="RES000385"/>
    <s v="Row591"/>
    <x v="0"/>
    <s v="Row591"/>
    <s v="Row146"/>
    <x v="6"/>
    <s v="Row87"/>
    <s v="Row4"/>
    <s v="160.87"/>
    <n v="2"/>
    <n v="0"/>
    <n v="0"/>
    <n v="2"/>
    <n v="2"/>
    <n v="0"/>
    <n v="0"/>
    <n v="0"/>
    <n v="0"/>
    <s v="402.17"/>
    <s v="206.79"/>
    <n v="206.79"/>
    <s v="195.38000000000002"/>
    <n v="1"/>
    <n v="0"/>
    <n v="26"/>
  </r>
  <r>
    <s v="Row385_Row414_Row3_Row165_Row112_Row0_Row1_Row1"/>
    <n v="386"/>
    <s v="RES000386"/>
    <s v="Row1002"/>
    <x v="1"/>
    <s v="Row409"/>
    <s v="Row390"/>
    <x v="0"/>
    <s v="Row87"/>
    <s v="Row2"/>
    <s v="169.5"/>
    <n v="3"/>
    <n v="0"/>
    <n v="0"/>
    <n v="3"/>
    <n v="3"/>
    <n v="0"/>
    <n v="0"/>
    <n v="0"/>
    <n v="0"/>
    <s v="423.75"/>
    <s v="94.92"/>
    <n v="94.92"/>
    <s v="328.83"/>
    <n v="1"/>
    <n v="0"/>
    <n v="27"/>
  </r>
  <r>
    <s v="Row386_Row131_Row2_Row117_Row91_Row2_Row0_Row1"/>
    <n v="387"/>
    <s v="RES000387"/>
    <s v="Row255"/>
    <x v="2"/>
    <s v="Row255"/>
    <s v="Row255"/>
    <x v="1"/>
    <s v="Row0"/>
    <s v="Row2"/>
    <s v="482.28"/>
    <n v="3"/>
    <n v="0"/>
    <n v="0"/>
    <n v="4"/>
    <n v="3"/>
    <n v="0"/>
    <n v="0"/>
    <n v="1"/>
    <n v="1"/>
    <s v="482.28"/>
    <s v="63.28"/>
    <n v="63.28"/>
    <n v="419"/>
    <n v="1"/>
    <n v="1"/>
    <n v="28"/>
  </r>
  <r>
    <s v="Row387_Row372_Row0_Row157_Row67_Row6_Row0_Row4"/>
    <n v="388"/>
    <s v="RES000388"/>
    <s v="Row879"/>
    <x v="3"/>
    <s v="Row375"/>
    <s v="Row156"/>
    <x v="2"/>
    <s v="Row0"/>
    <s v="Row9"/>
    <s v="1365.04"/>
    <n v="3"/>
    <n v="1"/>
    <n v="0"/>
    <n v="5"/>
    <n v="4"/>
    <n v="0"/>
    <n v="0"/>
    <n v="1"/>
    <n v="1"/>
    <s v="682.52"/>
    <s v="66.67"/>
    <n v="66.67"/>
    <s v="615.85"/>
    <n v="1"/>
    <n v="1"/>
    <n v="29"/>
  </r>
  <r>
    <s v="Row388_Row234_Row1_Row169_Row117_Row5_Row0_Row2"/>
    <n v="389"/>
    <s v="RES000389"/>
    <s v="Row492"/>
    <x v="0"/>
    <s v="Row421"/>
    <s v="Row492"/>
    <x v="3"/>
    <s v="Row0"/>
    <s v="Row3"/>
    <s v="2605.23"/>
    <n v="3"/>
    <n v="0"/>
    <n v="0"/>
    <n v="6"/>
    <n v="3"/>
    <n v="0"/>
    <n v="0"/>
    <n v="1"/>
    <n v="1"/>
    <s v="868.41"/>
    <s v="251.43"/>
    <n v="251.43"/>
    <s v="616.98"/>
    <n v="1"/>
    <n v="1"/>
    <n v="30"/>
  </r>
  <r>
    <s v="Row389_Row21_Row3_Row20_Row4_Row4_Row0_Row0"/>
    <n v="390"/>
    <s v="RES000390"/>
    <s v="Row47"/>
    <x v="1"/>
    <s v="Row47"/>
    <s v="Row7"/>
    <x v="4"/>
    <s v="Row0"/>
    <s v="Row0"/>
    <s v="154.19"/>
    <n v="1"/>
    <n v="2"/>
    <n v="0"/>
    <n v="1"/>
    <n v="3"/>
    <n v="0"/>
    <n v="0"/>
    <n v="1"/>
    <n v="1"/>
    <s v="154.19"/>
    <s v="61.02"/>
    <n v="61.02"/>
    <s v="93.16999999999999"/>
    <n v="1"/>
    <n v="1"/>
    <n v="31"/>
  </r>
  <r>
    <s v="Row390_Row56_Row2_Row40_Row49_Row3_Row0_Row3"/>
    <n v="391"/>
    <s v="RES000391"/>
    <s v="Row116"/>
    <x v="2"/>
    <s v="Row92"/>
    <s v="Row116"/>
    <x v="5"/>
    <s v="Row0"/>
    <s v="Row4"/>
    <s v="977.46"/>
    <n v="1"/>
    <n v="0"/>
    <n v="0"/>
    <n v="2"/>
    <n v="1"/>
    <n v="0"/>
    <n v="0"/>
    <n v="1"/>
    <n v="1"/>
    <s v="488.73"/>
    <s v="255.95"/>
    <n v="255.95"/>
    <s v="232.78000000000003"/>
    <n v="1"/>
    <n v="1"/>
    <n v="32"/>
  </r>
  <r>
    <s v="Row391_Row284_Row0_Row209_Row120_Row1_Row0_Row1"/>
    <n v="392"/>
    <s v="RES000392"/>
    <s v="Row615"/>
    <x v="3"/>
    <s v="Row615"/>
    <s v="Row539"/>
    <x v="6"/>
    <s v="Row0"/>
    <s v="Row2"/>
    <s v="1796.6999999999998"/>
    <n v="1"/>
    <n v="1"/>
    <n v="0"/>
    <n v="3"/>
    <n v="2"/>
    <n v="0"/>
    <n v="0"/>
    <n v="1"/>
    <n v="1"/>
    <s v="598.9"/>
    <s v="229.39000000000001"/>
    <n v="229.39"/>
    <s v="369.51"/>
    <n v="1"/>
    <n v="1"/>
    <n v="33"/>
  </r>
  <r>
    <s v="Row392_Row134_Row1_Row119_Row92_Row0_Row0_Row4"/>
    <n v="393"/>
    <s v="RES000393"/>
    <s v="Row259"/>
    <x v="0"/>
    <s v="Row259"/>
    <s v="Row259"/>
    <x v="0"/>
    <s v="Row0"/>
    <s v="Row9"/>
    <s v="488.16"/>
    <n v="2"/>
    <n v="0"/>
    <n v="0"/>
    <n v="4"/>
    <n v="2"/>
    <n v="0"/>
    <n v="0"/>
    <n v="1"/>
    <n v="1"/>
    <s v="488.16"/>
    <s v="76.84"/>
    <n v="76.84"/>
    <s v="411.32000000000005"/>
    <n v="1"/>
    <n v="1"/>
    <n v="34"/>
  </r>
  <r>
    <s v="Row393_Row292_Row3_Row211_Row8_Row2_Row0_Row2"/>
    <n v="394"/>
    <s v="RES000394"/>
    <s v="Row644"/>
    <x v="1"/>
    <s v="Row626"/>
    <s v="Row18"/>
    <x v="1"/>
    <s v="Row0"/>
    <s v="Row3"/>
    <s v="1256.56"/>
    <n v="2"/>
    <n v="0"/>
    <n v="0"/>
    <n v="5"/>
    <n v="2"/>
    <n v="0"/>
    <n v="0"/>
    <n v="1"/>
    <n v="1"/>
    <s v="628.28"/>
    <s v="80.22999999999999"/>
    <n v="80.229999999999905"/>
    <s v="548.05"/>
    <n v="1"/>
    <n v="1"/>
    <n v="35"/>
  </r>
  <r>
    <s v="Row394_Row477_Row2_Row28_Row51_Row6_Row0_Row0"/>
    <n v="395"/>
    <s v="RES000395"/>
    <s v="Row1263"/>
    <x v="2"/>
    <s v="Row68"/>
    <s v="Row121"/>
    <x v="2"/>
    <s v="Row0"/>
    <s v="Row0"/>
    <s v="2800.4700000000003"/>
    <n v="2"/>
    <n v="0"/>
    <n v="0"/>
    <n v="6"/>
    <n v="2"/>
    <n v="0"/>
    <n v="0"/>
    <n v="1"/>
    <n v="1"/>
    <s v="933.49"/>
    <s v="270.07"/>
    <n v="270.07"/>
    <s v="663.4200000000001"/>
    <n v="1"/>
    <n v="1"/>
    <n v="36"/>
  </r>
  <r>
    <s v="Row395_Row231_Row0_Row137_Row15_Row5_Row0_Row3"/>
    <n v="396"/>
    <s v="RES000396"/>
    <s v="Row485"/>
    <x v="3"/>
    <s v="Row327"/>
    <s v="Row35"/>
    <x v="3"/>
    <s v="Row0"/>
    <s v="Row4"/>
    <s v="158.31"/>
    <n v="3"/>
    <n v="2"/>
    <n v="1"/>
    <n v="1"/>
    <n v="6"/>
    <n v="0"/>
    <n v="0"/>
    <n v="1"/>
    <n v="1"/>
    <s v="158.31"/>
    <s v="47.46"/>
    <n v="47.46"/>
    <s v="110.85"/>
    <n v="1"/>
    <n v="1"/>
    <n v="37"/>
  </r>
  <r>
    <s v="Row396_Row433_Row1_Row87_Row110_Row4_Row0_Row1"/>
    <n v="397"/>
    <s v="RES000397"/>
    <s v="Row1082"/>
    <x v="0"/>
    <s v="Row186"/>
    <s v="Row383"/>
    <x v="4"/>
    <s v="Row0"/>
    <s v="Row2"/>
    <s v="995.76"/>
    <n v="3"/>
    <n v="0"/>
    <n v="0"/>
    <n v="2"/>
    <n v="3"/>
    <n v="0"/>
    <n v="0"/>
    <n v="1"/>
    <n v="1"/>
    <s v="497.88"/>
    <s v="292.22"/>
    <n v="292.22000000000003"/>
    <s v="205.65999999999997"/>
    <n v="1"/>
    <n v="1"/>
    <n v="38"/>
  </r>
  <r>
    <s v="Row397_Row370_Row3_Row184_Row115_Row3_Row0_Row4"/>
    <n v="398"/>
    <s v="RES000398"/>
    <s v="Row873"/>
    <x v="1"/>
    <s v="Row506"/>
    <s v="Row454"/>
    <x v="5"/>
    <s v="Row0"/>
    <s v="Row9"/>
    <s v="1564.83"/>
    <n v="3"/>
    <n v="0"/>
    <n v="0"/>
    <n v="3"/>
    <n v="3"/>
    <n v="0"/>
    <n v="0"/>
    <n v="1"/>
    <n v="1"/>
    <s v="521.61"/>
    <s v="192.78"/>
    <n v="192.78"/>
    <s v="328.83000000000004"/>
    <n v="1"/>
    <n v="1"/>
    <n v="39"/>
  </r>
  <r>
    <s v="Row398_Row458_Row2_Row51_Row97_Row1_Row0_Row2"/>
    <n v="399"/>
    <s v="RES000399"/>
    <s v="Row1194"/>
    <x v="2"/>
    <s v="Row120"/>
    <s v="Row296"/>
    <x v="6"/>
    <s v="Row0"/>
    <s v="Row3"/>
    <s v="528.84"/>
    <n v="3"/>
    <n v="0"/>
    <n v="0"/>
    <n v="4"/>
    <n v="3"/>
    <n v="0"/>
    <n v="0"/>
    <n v="1"/>
    <n v="1"/>
    <s v="528.84"/>
    <s v="63.28"/>
    <n v="63.28"/>
    <s v="465.56000000000006"/>
    <n v="1"/>
    <n v="1"/>
    <n v="40"/>
  </r>
  <r>
    <s v="Row399_Row50_Row0_Row46_Row45_Row0_Row0_Row0"/>
    <n v="400"/>
    <s v="RES000400"/>
    <s v="Row103"/>
    <x v="3"/>
    <s v="Row103"/>
    <s v="Row103"/>
    <x v="0"/>
    <s v="Row0"/>
    <s v="Row0"/>
    <s v="1303.46"/>
    <n v="1"/>
    <n v="1"/>
    <n v="0"/>
    <n v="5"/>
    <n v="2"/>
    <n v="0"/>
    <n v="0"/>
    <n v="1"/>
    <n v="1"/>
    <s v="651.73"/>
    <s v="66.67"/>
    <n v="66.67"/>
    <s v="585.0600000000001"/>
    <n v="1"/>
    <n v="1"/>
    <n v="41"/>
  </r>
  <r>
    <s v="Row400_Row553_Row1_Row247_Row142_Row2_Row2_Row5"/>
    <n v="401"/>
    <s v="RES000401"/>
    <s v="Row1411"/>
    <x v="0"/>
    <s v="Row1357"/>
    <s v="Row1365"/>
    <x v="1"/>
    <s v="Row1350"/>
    <s v="Row1350"/>
    <s v="0"/>
    <n v="1"/>
    <n v="0"/>
    <n v="0"/>
    <n v="6"/>
    <n v="1"/>
    <n v="1"/>
    <n v="0"/>
    <n v="0"/>
    <n v="0"/>
    <s v="616.98"/>
    <n v="0"/>
    <n v="0"/>
    <s v="616.98"/>
    <n v="1"/>
    <n v="0"/>
    <n v="42"/>
  </r>
  <r>
    <s v="Row401_Row600_Row3_Row268_Row136_Row6_Row2_Row5"/>
    <n v="402"/>
    <s v="RES000402"/>
    <s v="Row1483"/>
    <x v="1"/>
    <s v="Row1387"/>
    <s v="Row1358"/>
    <x v="2"/>
    <s v="Row1350"/>
    <s v="Row1350"/>
    <s v="0"/>
    <n v="1"/>
    <n v="2"/>
    <n v="0"/>
    <n v="1"/>
    <n v="3"/>
    <n v="1"/>
    <n v="0"/>
    <n v="0"/>
    <n v="0"/>
    <s v="109.61"/>
    <n v="0"/>
    <n v="0"/>
    <s v="109.61"/>
    <n v="1"/>
    <n v="0"/>
    <n v="43"/>
  </r>
  <r>
    <s v="Row402_Row570_Row2_Row290_Row137_Row5_Row2_Row5"/>
    <n v="403"/>
    <s v="RES000403"/>
    <s v="Row1433"/>
    <x v="2"/>
    <s v="Row1433"/>
    <s v="Row1359"/>
    <x v="3"/>
    <s v="Row1350"/>
    <s v="Row1350"/>
    <s v="0"/>
    <n v="2"/>
    <n v="0"/>
    <n v="0"/>
    <n v="2"/>
    <n v="2"/>
    <n v="1"/>
    <n v="0"/>
    <n v="0"/>
    <n v="0"/>
    <s v="232.78"/>
    <n v="0"/>
    <n v="0"/>
    <s v="232.78"/>
    <n v="1"/>
    <n v="0"/>
    <n v="44"/>
  </r>
  <r>
    <s v="Row403_Row546_Row0_Row267_Row155_Row4_Row3_Row5"/>
    <n v="404"/>
    <s v="RES000404"/>
    <s v="Row1404"/>
    <x v="3"/>
    <s v="Row1385"/>
    <s v="Row1404"/>
    <x v="4"/>
    <s v="Row1351"/>
    <s v="Row1350"/>
    <s v="0"/>
    <n v="2"/>
    <n v="1"/>
    <n v="0"/>
    <n v="3"/>
    <n v="3"/>
    <n v="0"/>
    <n v="1"/>
    <n v="0"/>
    <n v="0"/>
    <s v="369.51"/>
    <n v="0"/>
    <n v="0"/>
    <s v="369.51"/>
    <n v="1"/>
    <n v="0"/>
    <n v="45"/>
  </r>
  <r>
    <s v="Row404_Row349_Row1_Row227_Row121_Row3_Row1_Row1"/>
    <n v="405"/>
    <s v="RES000405"/>
    <s v="Row810"/>
    <x v="0"/>
    <s v="Row810"/>
    <s v="Row547"/>
    <x v="5"/>
    <s v="Row87"/>
    <s v="Row2"/>
    <s v="167.51"/>
    <n v="2"/>
    <n v="0"/>
    <n v="0"/>
    <n v="4"/>
    <n v="2"/>
    <n v="0"/>
    <n v="0"/>
    <n v="0"/>
    <n v="0"/>
    <s v="418.78"/>
    <s v="69.16"/>
    <n v="69.16"/>
    <s v="349.62"/>
    <n v="1"/>
    <n v="0"/>
    <n v="46"/>
  </r>
  <r>
    <s v="Row405_Row297_Row3_Row181_Row52_Row1_Row1_Row4"/>
    <n v="406"/>
    <s v="RES000406"/>
    <s v="Row656"/>
    <x v="1"/>
    <s v="Row463"/>
    <s v="Row122"/>
    <x v="6"/>
    <s v="Row87"/>
    <s v="Row9"/>
    <s v="244.98"/>
    <n v="3"/>
    <n v="0"/>
    <n v="0"/>
    <n v="5"/>
    <n v="3"/>
    <n v="0"/>
    <n v="0"/>
    <n v="0"/>
    <n v="0"/>
    <s v="612.46"/>
    <s v="64.41"/>
    <n v="64.41"/>
    <s v="548.0500000000001"/>
    <n v="1"/>
    <n v="0"/>
    <n v="47"/>
  </r>
  <r>
    <s v="Row406_Row129_Row2_Row116_Row77_Row0_Row0_Row4"/>
    <n v="407"/>
    <s v="RES000407"/>
    <s v="Row251"/>
    <x v="2"/>
    <s v="Row251"/>
    <s v="Row197"/>
    <x v="0"/>
    <s v="Row0"/>
    <s v="Row9"/>
    <s v="2905.23"/>
    <n v="3"/>
    <n v="0"/>
    <n v="0"/>
    <n v="6"/>
    <n v="3"/>
    <n v="0"/>
    <n v="0"/>
    <n v="1"/>
    <n v="1"/>
    <s v="968.41"/>
    <s v="270.07"/>
    <n v="270.07"/>
    <s v="698.3399999999999"/>
    <n v="1"/>
    <n v="1"/>
    <n v="48"/>
  </r>
  <r>
    <s v="Row407_Row359_Row0_Row88_Row109_Row2_Row0_Row2"/>
    <n v="408"/>
    <s v="RES000408"/>
    <s v="Row834"/>
    <x v="3"/>
    <s v="Row188"/>
    <s v="Row375"/>
    <x v="1"/>
    <s v="Row0"/>
    <s v="Row3"/>
    <s v="170.63"/>
    <n v="3"/>
    <n v="2"/>
    <n v="1"/>
    <n v="1"/>
    <n v="6"/>
    <n v="0"/>
    <n v="0"/>
    <n v="1"/>
    <n v="1"/>
    <s v="170.63"/>
    <s v="47.46"/>
    <n v="47.46"/>
    <s v="123.16999999999999"/>
    <n v="1"/>
    <n v="1"/>
    <n v="49"/>
  </r>
  <r>
    <s v="Row408_Row119_Row1_Row106_Row86_Row6_Row0_Row0"/>
    <n v="409"/>
    <s v="RES000409"/>
    <s v="Row228"/>
    <x v="0"/>
    <s v="Row228"/>
    <s v="Row228"/>
    <x v="2"/>
    <s v="Row0"/>
    <s v="Row0"/>
    <s v="1014.74"/>
    <n v="3"/>
    <n v="0"/>
    <n v="0"/>
    <n v="2"/>
    <n v="3"/>
    <n v="0"/>
    <n v="0"/>
    <n v="1"/>
    <n v="1"/>
    <s v="507.37"/>
    <s v="301.71"/>
    <n v="301.70999999999998"/>
    <s v="205.66000000000003"/>
    <n v="1"/>
    <n v="1"/>
    <n v="50"/>
  </r>
  <r>
    <s v="Row409_Row335_Row3_Row162_Row90_Row5_Row0_Row3"/>
    <n v="410"/>
    <s v="RES000410"/>
    <s v="Row751"/>
    <x v="1"/>
    <s v="Row393"/>
    <s v="Row254"/>
    <x v="3"/>
    <s v="Row0"/>
    <s v="Row4"/>
    <s v="1530.75"/>
    <n v="1"/>
    <n v="0"/>
    <n v="0"/>
    <n v="3"/>
    <n v="1"/>
    <n v="0"/>
    <n v="0"/>
    <n v="1"/>
    <n v="1"/>
    <s v="510.25"/>
    <s v="197.85999999999999"/>
    <n v="197.85999999999899"/>
    <s v="312.39"/>
    <n v="1"/>
    <n v="1"/>
    <n v="51"/>
  </r>
  <r>
    <s v="Row410_Row397_Row2_Row150_Row39_Row4_Row0_Row1"/>
    <n v="411"/>
    <s v="RES000411"/>
    <s v="Row952"/>
    <x v="2"/>
    <s v="Row357"/>
    <s v="Row92"/>
    <x v="4"/>
    <s v="Row0"/>
    <s v="Row2"/>
    <s v="528.84"/>
    <n v="1"/>
    <n v="0"/>
    <n v="0"/>
    <n v="4"/>
    <n v="1"/>
    <n v="0"/>
    <n v="0"/>
    <n v="1"/>
    <n v="1"/>
    <s v="528.84"/>
    <s v="63.28"/>
    <n v="63.28"/>
    <s v="465.56000000000006"/>
    <n v="1"/>
    <n v="1"/>
    <n v="52"/>
  </r>
  <r>
    <s v="Row411_Row253_Row0_Row191_Row101_Row3_Row0_Row4"/>
    <n v="412"/>
    <s v="RES000412"/>
    <s v="Row536"/>
    <x v="3"/>
    <s v="Row536"/>
    <s v="Row336"/>
    <x v="5"/>
    <s v="Row0"/>
    <s v="Row9"/>
    <s v="1356.22"/>
    <n v="1"/>
    <n v="1"/>
    <n v="0"/>
    <n v="5"/>
    <n v="2"/>
    <n v="0"/>
    <n v="0"/>
    <n v="1"/>
    <n v="1"/>
    <s v="678.11"/>
    <s v="62.26"/>
    <n v="62.26"/>
    <s v="615.85"/>
    <n v="1"/>
    <n v="1"/>
    <n v="53"/>
  </r>
  <r>
    <s v="Row412_Row487_Row1_Row23_Row113_Row1_Row0_Row2"/>
    <n v="413"/>
    <s v="RES000413"/>
    <s v="Row1309"/>
    <x v="0"/>
    <s v="Row53"/>
    <s v="Row420"/>
    <x v="6"/>
    <s v="Row0"/>
    <s v="Row3"/>
    <s v="2661.1499999999996"/>
    <n v="2"/>
    <n v="0"/>
    <n v="0"/>
    <n v="6"/>
    <n v="2"/>
    <n v="0"/>
    <n v="0"/>
    <n v="1"/>
    <n v="1"/>
    <s v="887.05"/>
    <s v="270.07"/>
    <n v="270.07"/>
    <s v="616.98"/>
    <n v="1"/>
    <n v="1"/>
    <n v="54"/>
  </r>
  <r>
    <s v="Row413_Row329_Row3_Row55_Row102_Row0_Row0_Row0"/>
    <n v="414"/>
    <s v="RES000414"/>
    <s v="Row736"/>
    <x v="1"/>
    <s v="Row126"/>
    <s v="Row345"/>
    <x v="0"/>
    <s v="Row0"/>
    <s v="Row0"/>
    <s v="159.67"/>
    <n v="2"/>
    <n v="2"/>
    <n v="0"/>
    <n v="1"/>
    <n v="4"/>
    <n v="0"/>
    <n v="0"/>
    <n v="1"/>
    <n v="1"/>
    <s v="159.67"/>
    <s v="61.02"/>
    <n v="61.02"/>
    <s v="98.64999999999998"/>
    <n v="1"/>
    <n v="1"/>
    <n v="55"/>
  </r>
  <r>
    <s v="Row414_Row357_Row2_Row86_Row85_Row2_Row0_Row3"/>
    <n v="415"/>
    <s v="RES000415"/>
    <s v="Row828"/>
    <x v="2"/>
    <s v="Row184"/>
    <s v="Row220"/>
    <x v="1"/>
    <s v="Row0"/>
    <s v="Row4"/>
    <s v="991.46"/>
    <n v="2"/>
    <n v="0"/>
    <n v="0"/>
    <n v="2"/>
    <n v="2"/>
    <n v="0"/>
    <n v="0"/>
    <n v="1"/>
    <n v="1"/>
    <s v="495.73"/>
    <s v="274.59"/>
    <n v="274.58999999999997"/>
    <s v="221.14000000000004"/>
    <n v="1"/>
    <n v="1"/>
    <n v="56"/>
  </r>
  <r>
    <s v="Row415_Row214_Row0_Row141_Row10_Row6_Row0_Row1"/>
    <n v="416"/>
    <s v="RES000416"/>
    <s v="Row436"/>
    <x v="3"/>
    <s v="Row333"/>
    <s v="Row26"/>
    <x v="2"/>
    <s v="Row0"/>
    <s v="Row2"/>
    <s v="1796.6999999999998"/>
    <n v="3"/>
    <n v="1"/>
    <n v="0"/>
    <n v="3"/>
    <n v="4"/>
    <n v="0"/>
    <n v="0"/>
    <n v="1"/>
    <n v="1"/>
    <s v="598.9"/>
    <s v="229.39000000000001"/>
    <n v="229.39"/>
    <s v="369.51"/>
    <n v="1"/>
    <n v="1"/>
    <n v="57"/>
  </r>
  <r>
    <s v="Row416_Row15_Row1_Row14_Row14_Row5_Row0_Row4"/>
    <n v="417"/>
    <s v="RES000417"/>
    <s v="Row34"/>
    <x v="0"/>
    <s v="Row34"/>
    <s v="Row34"/>
    <x v="3"/>
    <s v="Row0"/>
    <s v="Row9"/>
    <s v="488.16"/>
    <n v="3"/>
    <n v="0"/>
    <n v="0"/>
    <n v="4"/>
    <n v="3"/>
    <n v="0"/>
    <n v="0"/>
    <n v="1"/>
    <n v="1"/>
    <s v="488.16"/>
    <s v="76.84"/>
    <n v="76.84"/>
    <s v="411.32000000000005"/>
    <n v="1"/>
    <n v="1"/>
    <n v="58"/>
  </r>
  <r>
    <s v="Row417_Row128_Row3_Row115_Row25_Row4_Row0_Row2"/>
    <n v="418"/>
    <s v="RES000418"/>
    <s v="Row249"/>
    <x v="1"/>
    <s v="Row249"/>
    <s v="Row62"/>
    <x v="4"/>
    <s v="Row0"/>
    <s v="Row3"/>
    <s v="1253.4"/>
    <n v="3"/>
    <n v="0"/>
    <n v="0"/>
    <n v="5"/>
    <n v="3"/>
    <n v="0"/>
    <n v="0"/>
    <n v="1"/>
    <n v="1"/>
    <s v="626.7"/>
    <s v="78.64999999999999"/>
    <n v="78.649999999999906"/>
    <s v="548.0500000000001"/>
    <n v="1"/>
    <n v="1"/>
    <n v="59"/>
  </r>
  <r>
    <s v="Row418_Row112_Row2_Row100_Row83_Row3_Row0_Row0"/>
    <n v="419"/>
    <s v="RES000419"/>
    <s v="Row212"/>
    <x v="2"/>
    <s v="Row212"/>
    <s v="Row212"/>
    <x v="5"/>
    <s v="Row0"/>
    <s v="Row0"/>
    <s v="2900.4900000000002"/>
    <n v="3"/>
    <n v="0"/>
    <n v="0"/>
    <n v="6"/>
    <n v="3"/>
    <n v="0"/>
    <n v="0"/>
    <n v="1"/>
    <n v="1"/>
    <s v="966.83"/>
    <s v="268.49"/>
    <n v="268.49"/>
    <s v="698.34"/>
    <n v="1"/>
    <n v="1"/>
    <n v="60"/>
  </r>
  <r>
    <s v="Row419_Row429_Row0_Row26_Row114_Row1_Row0_Row3"/>
    <n v="420"/>
    <s v="RES000420"/>
    <s v="Row1058"/>
    <x v="3"/>
    <s v="Row61"/>
    <s v="Row444"/>
    <x v="6"/>
    <s v="Row0"/>
    <s v="Row4"/>
    <s v="152.15"/>
    <n v="1"/>
    <n v="2"/>
    <n v="1"/>
    <n v="1"/>
    <n v="4"/>
    <n v="0"/>
    <n v="0"/>
    <n v="1"/>
    <n v="1"/>
    <s v="152.15"/>
    <s v="47.46"/>
    <n v="47.46"/>
    <s v="104.69"/>
    <n v="1"/>
    <n v="1"/>
    <n v="61"/>
  </r>
  <r>
    <s v="Row420_Row562_Row1_Row287_Row135_Row0_Row2_Row5"/>
    <n v="421"/>
    <s v="RES000421"/>
    <s v="Row1423"/>
    <x v="0"/>
    <s v="Row1423"/>
    <s v="Row1357"/>
    <x v="0"/>
    <s v="Row1350"/>
    <s v="Row1350"/>
    <s v="0"/>
    <n v="1"/>
    <n v="0"/>
    <n v="0"/>
    <n v="2"/>
    <n v="1"/>
    <n v="1"/>
    <n v="0"/>
    <n v="0"/>
    <n v="0"/>
    <s v="345.78"/>
    <n v="0"/>
    <n v="0"/>
    <s v="345.78"/>
    <n v="1"/>
    <n v="0"/>
    <n v="62"/>
  </r>
  <r>
    <s v="Row421_Row609_Row3_Row292_Row150_Row2_Row2_Row5"/>
    <n v="422"/>
    <s v="RES000422"/>
    <s v="Row1502"/>
    <x v="1"/>
    <s v="Row1435"/>
    <s v="Row1384"/>
    <x v="1"/>
    <s v="Row1350"/>
    <s v="Row1350"/>
    <s v="0"/>
    <n v="1"/>
    <n v="0"/>
    <n v="0"/>
    <n v="3"/>
    <n v="1"/>
    <n v="1"/>
    <n v="0"/>
    <n v="0"/>
    <n v="0"/>
    <s v="545.79"/>
    <n v="0"/>
    <n v="0"/>
    <s v="545.79"/>
    <n v="1"/>
    <n v="0"/>
    <n v="63"/>
  </r>
  <r>
    <s v="Row422_Row613_Row2_Row278_Row159_Row6_Row2_Row5"/>
    <n v="423"/>
    <s v="RES000423"/>
    <s v="Row1509"/>
    <x v="2"/>
    <s v="Row1402"/>
    <s v="Row1487"/>
    <x v="2"/>
    <s v="Row1350"/>
    <s v="Row1350"/>
    <s v="0"/>
    <n v="2"/>
    <n v="0"/>
    <n v="0"/>
    <n v="4"/>
    <n v="2"/>
    <n v="1"/>
    <n v="0"/>
    <n v="0"/>
    <n v="0"/>
    <s v="687.49"/>
    <n v="0"/>
    <n v="0"/>
    <s v="687.49"/>
    <n v="1"/>
    <n v="0"/>
    <n v="64"/>
  </r>
  <r>
    <s v="Row423_Row524_Row0_Row265_Row129_Row5_Row3_Row5"/>
    <n v="424"/>
    <s v="RES000424"/>
    <s v="Row1380"/>
    <x v="3"/>
    <s v="Row1380"/>
    <s v="Row1351"/>
    <x v="3"/>
    <s v="Row1351"/>
    <s v="Row1350"/>
    <s v="0"/>
    <n v="2"/>
    <n v="1"/>
    <n v="0"/>
    <n v="5"/>
    <n v="3"/>
    <n v="0"/>
    <n v="1"/>
    <n v="0"/>
    <n v="0"/>
    <s v="1000.05"/>
    <n v="0"/>
    <n v="0"/>
    <s v="1000.05"/>
    <n v="1"/>
    <n v="0"/>
    <n v="65"/>
  </r>
  <r>
    <s v="Row424_Row398_Row1_Row194_Row54_Row4_Row1_Row4"/>
    <n v="425"/>
    <s v="RES000425"/>
    <s v="Row956"/>
    <x v="0"/>
    <s v="Row547"/>
    <s v="Row127"/>
    <x v="4"/>
    <s v="Row87"/>
    <s v="Row9"/>
    <s v="403.23"/>
    <n v="2"/>
    <n v="0"/>
    <n v="0"/>
    <n v="6"/>
    <n v="2"/>
    <n v="0"/>
    <n v="0"/>
    <n v="0"/>
    <n v="0"/>
    <s v="1008.07"/>
    <s v="22.6"/>
    <n v="22.6"/>
    <s v="985.47"/>
    <n v="1"/>
    <n v="0"/>
    <n v="66"/>
  </r>
  <r>
    <s v="Row425_Row416_Row3_Row126_Row35_Row3_Row1_Row2"/>
    <n v="426"/>
    <s v="RES000426"/>
    <s v="Row1005"/>
    <x v="1"/>
    <s v="Row280"/>
    <s v="Row87"/>
    <x v="5"/>
    <s v="Row87"/>
    <s v="Row3"/>
    <s v="94.74"/>
    <n v="3"/>
    <n v="2"/>
    <n v="0"/>
    <n v="1"/>
    <n v="5"/>
    <n v="0"/>
    <n v="0"/>
    <n v="0"/>
    <n v="0"/>
    <s v="236.85"/>
    <s v="54.92"/>
    <n v="54.92"/>
    <s v="181.93"/>
    <n v="1"/>
    <n v="0"/>
    <n v="67"/>
  </r>
  <r>
    <s v="Row426_Row434_Row2_Row91_Row57_Row1_Row0_Row2"/>
    <n v="427"/>
    <s v="RES000427"/>
    <s v="Row1084"/>
    <x v="2"/>
    <s v="Row194"/>
    <s v="Row139"/>
    <x v="6"/>
    <s v="Row0"/>
    <s v="Row3"/>
    <s v="1313.06"/>
    <n v="3"/>
    <n v="0"/>
    <n v="0"/>
    <n v="2"/>
    <n v="3"/>
    <n v="0"/>
    <n v="0"/>
    <n v="1"/>
    <n v="1"/>
    <s v="656.53"/>
    <s v="274.59"/>
    <n v="274.58999999999997"/>
    <s v="381.94"/>
    <n v="1"/>
    <n v="1"/>
    <n v="68"/>
  </r>
  <r>
    <s v="Row427_Row65_Row0_Row54_Row55_Row0_Row0_Row0"/>
    <n v="428"/>
    <s v="RES000428"/>
    <s v="Row132"/>
    <x v="3"/>
    <s v="Row123"/>
    <s v="Row132"/>
    <x v="0"/>
    <s v="Row0"/>
    <s v="Row0"/>
    <s v="2488.2599999999998"/>
    <n v="3"/>
    <n v="1"/>
    <n v="0"/>
    <n v="3"/>
    <n v="4"/>
    <n v="0"/>
    <n v="0"/>
    <n v="1"/>
    <n v="1"/>
    <s v="829.42"/>
    <s v="229.39000000000001"/>
    <n v="229.39"/>
    <s v="600.03"/>
    <n v="1"/>
    <n v="1"/>
    <n v="69"/>
  </r>
  <r>
    <s v="Row428_Row488_Row1_Row228_Row76_Row2_Row0_Row3"/>
    <n v="429"/>
    <s v="RES000429"/>
    <s v="Row1320"/>
    <x v="0"/>
    <s v="Row830"/>
    <s v="Row192"/>
    <x v="1"/>
    <s v="Row0"/>
    <s v="Row4"/>
    <s v="768.4"/>
    <n v="3"/>
    <n v="0"/>
    <n v="0"/>
    <n v="4"/>
    <n v="3"/>
    <n v="0"/>
    <n v="0"/>
    <n v="1"/>
    <n v="1"/>
    <s v="768.4"/>
    <s v="76.84"/>
    <n v="76.84"/>
    <s v="691.56"/>
    <n v="1"/>
    <n v="1"/>
    <n v="70"/>
  </r>
  <r>
    <s v="Row429_Row269_Row3_Row203_Row61_Row6_Row0_Row1"/>
    <n v="430"/>
    <s v="RES000430"/>
    <s v="Row579"/>
    <x v="1"/>
    <s v="Row579"/>
    <s v="Row145"/>
    <x v="2"/>
    <s v="Row0"/>
    <s v="Row2"/>
    <s v="1888.8"/>
    <n v="1"/>
    <n v="0"/>
    <n v="0"/>
    <n v="5"/>
    <n v="1"/>
    <n v="0"/>
    <n v="0"/>
    <n v="1"/>
    <n v="1"/>
    <s v="944.4"/>
    <s v="80.22999999999999"/>
    <n v="80.229999999999905"/>
    <s v="864.17"/>
    <n v="1"/>
    <n v="1"/>
    <n v="71"/>
  </r>
  <r>
    <s v="Row430_Row171_Row2_Row144_Row13_Row5_Row0_Row4"/>
    <n v="431"/>
    <s v="RES000431"/>
    <s v="Row339"/>
    <x v="2"/>
    <s v="Row339"/>
    <s v="Row32"/>
    <x v="3"/>
    <s v="Row0"/>
    <s v="Row9"/>
    <s v="4185.63"/>
    <n v="1"/>
    <n v="0"/>
    <n v="0"/>
    <n v="6"/>
    <n v="1"/>
    <n v="0"/>
    <n v="0"/>
    <n v="1"/>
    <n v="1"/>
    <s v="1395.21"/>
    <s v="249.39000000000001"/>
    <n v="249.39"/>
    <s v="1145.82"/>
    <n v="1"/>
    <n v="1"/>
    <n v="72"/>
  </r>
  <r>
    <s v="Row431_Row446_Row0_Row142_Row126_Row4_Row0_Row2"/>
    <n v="432"/>
    <s v="RES000432"/>
    <s v="Row1144"/>
    <x v="3"/>
    <s v="Row336"/>
    <s v="Row646"/>
    <x v="4"/>
    <s v="Row0"/>
    <s v="Row3"/>
    <s v="227.47"/>
    <n v="1"/>
    <n v="2"/>
    <n v="1"/>
    <n v="1"/>
    <n v="4"/>
    <n v="0"/>
    <n v="0"/>
    <n v="1"/>
    <n v="1"/>
    <s v="227.47"/>
    <s v="47.46"/>
    <n v="47.46"/>
    <s v="180.01"/>
    <n v="1"/>
    <n v="1"/>
    <n v="73"/>
  </r>
  <r>
    <s v="Row432_Row417_Row1_Row216_Row1_Row3_Row0_Row0"/>
    <n v="433"/>
    <s v="RES000433"/>
    <s v="Row1006"/>
    <x v="0"/>
    <s v="Row668"/>
    <s v="Row2"/>
    <x v="5"/>
    <s v="Row0"/>
    <s v="Row0"/>
    <s v="1253.62"/>
    <n v="2"/>
    <n v="0"/>
    <n v="0"/>
    <n v="2"/>
    <n v="2"/>
    <n v="0"/>
    <n v="0"/>
    <n v="1"/>
    <n v="1"/>
    <s v="626.81"/>
    <s v="281.03000000000003"/>
    <n v="281.02999999999997"/>
    <s v="345.7799999999999"/>
    <n v="1"/>
    <n v="1"/>
    <n v="74"/>
  </r>
  <r>
    <s v="Row433_Row490_Row3_Row145_Row118_Row1_Row0_Row3"/>
    <n v="434"/>
    <s v="RES000434"/>
    <s v="Row1326"/>
    <x v="1"/>
    <s v="Row345"/>
    <s v="Row495"/>
    <x v="6"/>
    <s v="Row0"/>
    <s v="Row4"/>
    <s v="2244.18"/>
    <n v="2"/>
    <n v="0"/>
    <n v="0"/>
    <n v="3"/>
    <n v="2"/>
    <n v="0"/>
    <n v="0"/>
    <n v="1"/>
    <n v="1"/>
    <s v="748.06"/>
    <s v="202.26999999999998"/>
    <n v="202.26999999999899"/>
    <s v="545.79"/>
    <n v="1"/>
    <n v="1"/>
    <n v="75"/>
  </r>
  <r>
    <s v="Row434_Row165_Row2_Row139_Row75_Row0_Row0_Row1"/>
    <n v="435"/>
    <s v="RES000435"/>
    <s v="Row329"/>
    <x v="2"/>
    <s v="Row329"/>
    <s v="Row184"/>
    <x v="0"/>
    <s v="Row0"/>
    <s v="Row2"/>
    <s v="712.58"/>
    <n v="2"/>
    <n v="0"/>
    <n v="0"/>
    <n v="4"/>
    <n v="2"/>
    <n v="0"/>
    <n v="0"/>
    <n v="1"/>
    <n v="1"/>
    <s v="712.58"/>
    <s v="63.28"/>
    <n v="63.28"/>
    <s v="649.3000000000001"/>
    <n v="1"/>
    <n v="1"/>
    <n v="76"/>
  </r>
  <r>
    <s v="Row435_Row175_Row0_Row146_Row46_Row2_Row0_Row4"/>
    <n v="436"/>
    <s v="RES000436"/>
    <s v="Row349"/>
    <x v="3"/>
    <s v="Row349"/>
    <s v="Row107"/>
    <x v="1"/>
    <s v="Row0"/>
    <s v="Row9"/>
    <s v="2133.44"/>
    <n v="3"/>
    <n v="1"/>
    <n v="0"/>
    <n v="5"/>
    <n v="4"/>
    <n v="0"/>
    <n v="0"/>
    <n v="1"/>
    <n v="1"/>
    <s v="1066.72"/>
    <s v="66.67"/>
    <n v="66.67"/>
    <s v="1000.0500000000001"/>
    <n v="1"/>
    <n v="1"/>
    <n v="77"/>
  </r>
  <r>
    <s v="Row436_Row422_Row1_Row208_Row127_Row6_Row0_Row2"/>
    <n v="437"/>
    <s v="RES000437"/>
    <s v="Row1021"/>
    <x v="0"/>
    <s v="Row610"/>
    <s v="Row673"/>
    <x v="2"/>
    <s v="Row0"/>
    <s v="Row3"/>
    <s v="3922.2300000000005"/>
    <n v="3"/>
    <n v="0"/>
    <n v="0"/>
    <n v="6"/>
    <n v="3"/>
    <n v="0"/>
    <n v="0"/>
    <n v="1"/>
    <n v="1"/>
    <s v="1307.41"/>
    <s v="270.07"/>
    <n v="270.07"/>
    <s v="1037.3400000000001"/>
    <n v="1"/>
    <n v="1"/>
    <n v="78"/>
  </r>
  <r>
    <s v="Row437_Row88_Row3_Row78_Row7_Row5_Row0_Row0"/>
    <n v="438"/>
    <s v="RES000438"/>
    <s v="Row170"/>
    <x v="1"/>
    <s v="Row170"/>
    <s v="Row15"/>
    <x v="3"/>
    <s v="Row0"/>
    <s v="Row0"/>
    <s v="242.95"/>
    <n v="3"/>
    <n v="2"/>
    <n v="0"/>
    <n v="1"/>
    <n v="5"/>
    <n v="0"/>
    <n v="0"/>
    <n v="1"/>
    <n v="1"/>
    <s v="242.95"/>
    <s v="61.02"/>
    <n v="61.02"/>
    <s v="181.92999999999998"/>
    <n v="1"/>
    <n v="1"/>
    <n v="79"/>
  </r>
  <r>
    <s v="Row438_Row391_Row2_Row231_Row119_Row4_Row0_Row3"/>
    <n v="439"/>
    <s v="RES000439"/>
    <s v="Row925"/>
    <x v="2"/>
    <s v="Row851"/>
    <s v="Row519"/>
    <x v="4"/>
    <s v="Row0"/>
    <s v="Row4"/>
    <s v="1295.44"/>
    <n v="3"/>
    <n v="0"/>
    <n v="0"/>
    <n v="2"/>
    <n v="3"/>
    <n v="0"/>
    <n v="0"/>
    <n v="1"/>
    <n v="1"/>
    <s v="647.72"/>
    <s v="265.78"/>
    <n v="265.77999999999997"/>
    <s v="381.94000000000005"/>
    <n v="1"/>
    <n v="1"/>
    <n v="80"/>
  </r>
  <r>
    <s v="Row439_Row32_Row0_Row29_Row24_Row3_Row0_Row1"/>
    <n v="440"/>
    <s v="RES000440"/>
    <s v="Row71"/>
    <x v="3"/>
    <s v="Row71"/>
    <s v="Row61"/>
    <x v="5"/>
    <s v="Row0"/>
    <s v="Row2"/>
    <s v="2371.83"/>
    <n v="1"/>
    <n v="1"/>
    <n v="0"/>
    <n v="3"/>
    <n v="2"/>
    <n v="0"/>
    <n v="0"/>
    <n v="1"/>
    <n v="1"/>
    <s v="790.61"/>
    <s v="220.58"/>
    <n v="220.58"/>
    <s v="570.03"/>
    <n v="1"/>
    <n v="1"/>
    <n v="81"/>
  </r>
  <r>
    <s v="Row440_Row591_Row1_Row273_Row130_Row1_Row2_Row5"/>
    <n v="441"/>
    <s v="RES000441"/>
    <s v="Row1469"/>
    <x v="0"/>
    <s v="Row1396"/>
    <s v="Row1352"/>
    <x v="6"/>
    <s v="Row1350"/>
    <s v="Row1350"/>
    <s v="0"/>
    <n v="1"/>
    <n v="0"/>
    <n v="0"/>
    <n v="4"/>
    <n v="1"/>
    <n v="1"/>
    <n v="0"/>
    <n v="0"/>
    <n v="0"/>
    <s v="622.4"/>
    <n v="0"/>
    <n v="0"/>
    <s v="622.4"/>
    <n v="1"/>
    <n v="0"/>
    <n v="82"/>
  </r>
  <r>
    <s v="Row441_Row516_Row3_Row254_Row145_Row0_Row2_Row5"/>
    <n v="442"/>
    <s v="RES000442"/>
    <s v="Row1371"/>
    <x v="1"/>
    <s v="Row1366"/>
    <s v="Row1371"/>
    <x v="0"/>
    <s v="Row1350"/>
    <s v="Row1350"/>
    <s v="0"/>
    <n v="1"/>
    <n v="0"/>
    <n v="0"/>
    <n v="5"/>
    <n v="1"/>
    <n v="1"/>
    <n v="0"/>
    <n v="0"/>
    <n v="0"/>
    <s v="909.65"/>
    <n v="0"/>
    <n v="0"/>
    <s v="909.65"/>
    <n v="1"/>
    <n v="0"/>
    <n v="83"/>
  </r>
  <r>
    <s v="Row442_Row567_Row2_Row264_Row148_Row2_Row2_Row5"/>
    <n v="443"/>
    <s v="RES000443"/>
    <s v="Row1428"/>
    <x v="2"/>
    <s v="Row1379"/>
    <s v="Row1374"/>
    <x v="1"/>
    <s v="Row1350"/>
    <s v="Row1350"/>
    <s v="0"/>
    <n v="2"/>
    <n v="0"/>
    <n v="0"/>
    <n v="6"/>
    <n v="2"/>
    <n v="1"/>
    <n v="0"/>
    <n v="0"/>
    <n v="0"/>
    <s v="1145.82"/>
    <n v="0"/>
    <n v="0"/>
    <s v="1145.82"/>
    <n v="1"/>
    <n v="0"/>
    <n v="84"/>
  </r>
  <r>
    <s v="Row443_Row538_Row0_Row272_Row144_Row6_Row3_Row5"/>
    <n v="444"/>
    <s v="RES000444"/>
    <s v="Row1395"/>
    <x v="3"/>
    <s v="Row1395"/>
    <s v="Row1370"/>
    <x v="2"/>
    <s v="Row1351"/>
    <s v="Row1350"/>
    <s v="0"/>
    <n v="2"/>
    <n v="2"/>
    <n v="1"/>
    <n v="1"/>
    <n v="5"/>
    <n v="0"/>
    <n v="1"/>
    <n v="0"/>
    <n v="0"/>
    <s v="200.01"/>
    <n v="0"/>
    <n v="0"/>
    <s v="200.01"/>
    <n v="1"/>
    <n v="0"/>
    <n v="85"/>
  </r>
  <r>
    <s v="Row444_Row437_Row1_Row56_Row47_Row5_Row1_Row2"/>
    <n v="445"/>
    <s v="RES000445"/>
    <s v="Row1095"/>
    <x v="0"/>
    <s v="Row127"/>
    <s v="Row110"/>
    <x v="3"/>
    <s v="Row87"/>
    <s v="Row3"/>
    <s v="214.11"/>
    <n v="2"/>
    <n v="0"/>
    <n v="0"/>
    <n v="2"/>
    <n v="2"/>
    <n v="0"/>
    <n v="0"/>
    <n v="0"/>
    <n v="0"/>
    <s v="535.28"/>
    <s v="206.79"/>
    <n v="206.79"/>
    <s v="328.49"/>
    <n v="1"/>
    <n v="0"/>
    <n v="86"/>
  </r>
  <r>
    <s v="Row445_Row320_Row3_Row195_Row95_Row4_Row1_Row0"/>
    <n v="446"/>
    <s v="RES000446"/>
    <s v="Row716"/>
    <x v="1"/>
    <s v="Row557"/>
    <s v="Row280"/>
    <x v="4"/>
    <s v="Row87"/>
    <s v="Row0"/>
    <s v="256.28"/>
    <n v="3"/>
    <n v="0"/>
    <n v="0"/>
    <n v="3"/>
    <n v="3"/>
    <n v="0"/>
    <n v="0"/>
    <n v="0"/>
    <n v="0"/>
    <s v="640.71"/>
    <s v="94.92"/>
    <n v="94.92"/>
    <s v="545.7900000000001"/>
    <n v="1"/>
    <n v="0"/>
    <n v="87"/>
  </r>
  <r>
    <s v="Row446_Row195_Row2_Row61_Row71_Row3_Row0_Row0"/>
    <n v="447"/>
    <s v="RES000447"/>
    <s v="Row396"/>
    <x v="2"/>
    <s v="Row139"/>
    <s v="Row168"/>
    <x v="5"/>
    <s v="Row0"/>
    <s v="Row0"/>
    <s v="820.83"/>
    <n v="3"/>
    <n v="0"/>
    <n v="0"/>
    <n v="4"/>
    <n v="3"/>
    <n v="0"/>
    <n v="0"/>
    <n v="1"/>
    <n v="1"/>
    <s v="820.83"/>
    <s v="56.95"/>
    <n v="56.95"/>
    <s v="763.88"/>
    <n v="1"/>
    <n v="1"/>
    <n v="88"/>
  </r>
  <r>
    <s v="Row447_Row230_Row0_Row136_Row53_Row1_Row0_Row3"/>
    <n v="448"/>
    <s v="RES000448"/>
    <s v="Row483"/>
    <x v="3"/>
    <s v="Row324"/>
    <s v="Row123"/>
    <x v="6"/>
    <s v="Row0"/>
    <s v="Row4"/>
    <s v="2133.44"/>
    <n v="3"/>
    <n v="1"/>
    <n v="0"/>
    <n v="5"/>
    <n v="4"/>
    <n v="0"/>
    <n v="0"/>
    <n v="1"/>
    <n v="1"/>
    <s v="1066.72"/>
    <s v="66.67"/>
    <n v="66.67"/>
    <s v="1000.0500000000001"/>
    <n v="1"/>
    <n v="1"/>
    <n v="89"/>
  </r>
  <r>
    <s v="Row448_Row494_Row1_Row153_Row34_Row0_Row0_Row1"/>
    <n v="449"/>
    <s v="RES000449"/>
    <s v="Row1338"/>
    <x v="0"/>
    <s v="Row367"/>
    <s v="Row85"/>
    <x v="0"/>
    <s v="Row0"/>
    <s v="Row2"/>
    <s v="3922.2300000000005"/>
    <n v="3"/>
    <n v="0"/>
    <n v="0"/>
    <n v="6"/>
    <n v="3"/>
    <n v="0"/>
    <n v="0"/>
    <n v="1"/>
    <n v="1"/>
    <s v="1307.41"/>
    <s v="270.07"/>
    <n v="270.07"/>
    <s v="1037.3400000000001"/>
    <n v="1"/>
    <n v="1"/>
    <n v="90"/>
  </r>
  <r>
    <s v="Row449_Row348_Row3_Row65_Row12_Row2_Row0_Row4"/>
    <n v="450"/>
    <s v="RES000450"/>
    <s v="Row808"/>
    <x v="1"/>
    <s v="Row145"/>
    <s v="Row29"/>
    <x v="1"/>
    <s v="Row0"/>
    <s v="Row9"/>
    <s v="215.66"/>
    <n v="1"/>
    <n v="2"/>
    <n v="0"/>
    <n v="1"/>
    <n v="3"/>
    <n v="0"/>
    <n v="0"/>
    <n v="1"/>
    <n v="1"/>
    <s v="215.66"/>
    <s v="61.02"/>
    <n v="61.02"/>
    <s v="154.64"/>
    <n v="1"/>
    <n v="1"/>
    <n v="1"/>
  </r>
  <r>
    <s v="Row450_Row455_Row2_Row234_Row116_Row6_Row0_Row2"/>
    <n v="451"/>
    <s v="RES000451"/>
    <s v="Row1189"/>
    <x v="2"/>
    <s v="Row885"/>
    <s v="Row459"/>
    <x v="2"/>
    <s v="Row0"/>
    <s v="Row3"/>
    <s v="1313.06"/>
    <n v="1"/>
    <n v="0"/>
    <n v="0"/>
    <n v="2"/>
    <n v="1"/>
    <n v="0"/>
    <n v="0"/>
    <n v="1"/>
    <n v="1"/>
    <s v="656.53"/>
    <s v="274.59"/>
    <n v="274.58999999999997"/>
    <s v="381.94"/>
    <n v="1"/>
    <n v="1"/>
    <n v="2"/>
  </r>
  <r>
    <s v="Row451_Row464_Row0_Row57_Row11_Row5_Row0_Row0"/>
    <n v="452"/>
    <s v="RES000452"/>
    <s v="Row1217"/>
    <x v="3"/>
    <s v="Row128"/>
    <s v="Row27"/>
    <x v="3"/>
    <s v="Row0"/>
    <s v="Row0"/>
    <s v="2468.94"/>
    <n v="1"/>
    <n v="1"/>
    <n v="0"/>
    <n v="3"/>
    <n v="2"/>
    <n v="0"/>
    <n v="0"/>
    <n v="1"/>
    <n v="1"/>
    <s v="822.98"/>
    <s v="222.95000000000002"/>
    <n v="222.95"/>
    <s v="600.03"/>
    <n v="1"/>
    <n v="1"/>
    <n v="3"/>
  </r>
  <r>
    <s v="Row452_Row70_Row1_Row63_Row59_Row4_Row0_Row3"/>
    <n v="453"/>
    <s v="RES000453"/>
    <s v="Row141"/>
    <x v="0"/>
    <s v="Row141"/>
    <s v="Row141"/>
    <x v="4"/>
    <s v="Row0"/>
    <s v="Row4"/>
    <s v="768.4"/>
    <n v="2"/>
    <n v="0"/>
    <n v="0"/>
    <n v="4"/>
    <n v="2"/>
    <n v="0"/>
    <n v="0"/>
    <n v="1"/>
    <n v="1"/>
    <s v="768.4"/>
    <s v="76.84"/>
    <n v="76.84"/>
    <s v="691.56"/>
    <n v="1"/>
    <n v="1"/>
    <n v="4"/>
  </r>
  <r>
    <s v="Row453_Row425_Row3_Row133_Row69_Row3_Row0_Row1"/>
    <n v="454"/>
    <s v="RES000454"/>
    <s v="Row1036"/>
    <x v="1"/>
    <s v="Row316"/>
    <s v="Row166"/>
    <x v="5"/>
    <s v="Row0"/>
    <s v="Row2"/>
    <s v="1966.88"/>
    <n v="2"/>
    <n v="0"/>
    <n v="0"/>
    <n v="5"/>
    <n v="2"/>
    <n v="0"/>
    <n v="0"/>
    <n v="1"/>
    <n v="1"/>
    <s v="983.44"/>
    <s v="73.78999999999999"/>
    <n v="73.789999999999907"/>
    <s v="909.6500000000001"/>
    <n v="1"/>
    <n v="1"/>
    <n v="5"/>
  </r>
  <r>
    <s v="Row454_Row228_Row2_Row174_Row19_Row1_Row0_Row4"/>
    <n v="455"/>
    <s v="RES000455"/>
    <s v="Row475"/>
    <x v="2"/>
    <s v="Row432"/>
    <s v="Row45"/>
    <x v="6"/>
    <s v="Row0"/>
    <s v="Row9"/>
    <s v="4075.7999999999997"/>
    <n v="2"/>
    <n v="0"/>
    <n v="0"/>
    <n v="6"/>
    <n v="2"/>
    <n v="0"/>
    <n v="0"/>
    <n v="1"/>
    <n v="1"/>
    <s v="1358.6"/>
    <s v="270.07"/>
    <n v="270.07"/>
    <s v="1088.53"/>
    <n v="1"/>
    <n v="1"/>
    <n v="6"/>
  </r>
  <r>
    <s v="Row455_Row198_Row0_Row128_Row88_Row0_Row0_Row2"/>
    <n v="456"/>
    <s v="RES000456"/>
    <s v="Row403"/>
    <x v="3"/>
    <s v="Row299"/>
    <s v="Row234"/>
    <x v="0"/>
    <s v="Row0"/>
    <s v="Row3"/>
    <s v="247.47"/>
    <n v="3"/>
    <n v="2"/>
    <n v="1"/>
    <n v="1"/>
    <n v="6"/>
    <n v="0"/>
    <n v="0"/>
    <n v="1"/>
    <n v="1"/>
    <s v="247.47"/>
    <s v="47.46"/>
    <n v="47.46"/>
    <s v="200.01"/>
    <n v="1"/>
    <n v="1"/>
    <n v="7"/>
  </r>
  <r>
    <s v="Row456_Row364_Row1_Row207_Row58_Row2_Row0_Row0"/>
    <n v="457"/>
    <s v="RES000457"/>
    <s v="Row863"/>
    <x v="0"/>
    <s v="Row593"/>
    <s v="Row140"/>
    <x v="1"/>
    <s v="Row0"/>
    <s v="Row0"/>
    <s v="1294.98"/>
    <n v="3"/>
    <n v="0"/>
    <n v="0"/>
    <n v="2"/>
    <n v="3"/>
    <n v="0"/>
    <n v="0"/>
    <n v="1"/>
    <n v="1"/>
    <s v="647.49"/>
    <s v="301.71"/>
    <n v="301.70999999999998"/>
    <s v="345.78000000000003"/>
    <n v="1"/>
    <n v="1"/>
    <n v="8"/>
  </r>
  <r>
    <s v="Row457_Row328_Row3_Row6_Row81_Row6_Row0_Row3"/>
    <n v="458"/>
    <s v="RES000458"/>
    <s v="Row733"/>
    <x v="1"/>
    <s v="Row15"/>
    <s v="Row206"/>
    <x v="2"/>
    <s v="Row0"/>
    <s v="Row4"/>
    <s v="2244.18"/>
    <n v="3"/>
    <n v="0"/>
    <n v="0"/>
    <n v="3"/>
    <n v="3"/>
    <n v="0"/>
    <n v="0"/>
    <n v="1"/>
    <n v="1"/>
    <s v="748.06"/>
    <s v="202.26999999999998"/>
    <n v="202.26999999999899"/>
    <s v="545.79"/>
    <n v="1"/>
    <n v="1"/>
    <n v="9"/>
  </r>
  <r>
    <s v="Row458_Row271_Row2_Row204_Row124_Row5_Row0_Row1"/>
    <n v="459"/>
    <s v="RES000459"/>
    <s v="Row587"/>
    <x v="2"/>
    <s v="Row587"/>
    <s v="Row587"/>
    <x v="3"/>
    <s v="Row0"/>
    <s v="Row2"/>
    <s v="750.77"/>
    <n v="3"/>
    <n v="0"/>
    <n v="0"/>
    <n v="4"/>
    <n v="3"/>
    <n v="0"/>
    <n v="0"/>
    <n v="1"/>
    <n v="1"/>
    <s v="750.77"/>
    <s v="63.28"/>
    <n v="63.28"/>
    <s v="687.49"/>
    <n v="1"/>
    <n v="1"/>
    <n v="10"/>
  </r>
  <r>
    <s v="Row459_Row482_Row0_Row33_Row106_Row4_Row0_Row4"/>
    <n v="460"/>
    <s v="RES000460"/>
    <s v="Row1286"/>
    <x v="3"/>
    <s v="Row80"/>
    <s v="Row361"/>
    <x v="4"/>
    <s v="Row0"/>
    <s v="Row9"/>
    <s v="2028.92"/>
    <n v="1"/>
    <n v="1"/>
    <n v="0"/>
    <n v="5"/>
    <n v="2"/>
    <n v="0"/>
    <n v="0"/>
    <n v="1"/>
    <n v="1"/>
    <s v="1014.46"/>
    <s v="64.41"/>
    <n v="64.41"/>
    <s v="950.0500000000001"/>
    <n v="1"/>
    <n v="1"/>
    <n v="11"/>
  </r>
  <r>
    <s v="Row460_Row557_Row1_Row284_Row154_Row3_Row2_Row5"/>
    <n v="461"/>
    <s v="RES000461"/>
    <s v="Row1415"/>
    <x v="0"/>
    <s v="Row1415"/>
    <s v="Row1394"/>
    <x v="5"/>
    <s v="Row1350"/>
    <s v="Row1350"/>
    <s v="0"/>
    <n v="1"/>
    <n v="0"/>
    <n v="0"/>
    <n v="6"/>
    <n v="1"/>
    <n v="1"/>
    <n v="0"/>
    <n v="0"/>
    <n v="0"/>
    <s v="1288.2"/>
    <n v="0"/>
    <n v="0"/>
    <s v="1288.2"/>
    <n v="1"/>
    <n v="0"/>
    <n v="12"/>
  </r>
  <r>
    <s v="Row461_Row555_Row3_Row283_Row143_Row1_Row2_Row5"/>
    <n v="462"/>
    <s v="RES000462"/>
    <s v="Row1413"/>
    <x v="1"/>
    <s v="Row1413"/>
    <s v="Row1366"/>
    <x v="6"/>
    <s v="Row1350"/>
    <s v="Row1350"/>
    <s v="0"/>
    <n v="1"/>
    <n v="2"/>
    <n v="0"/>
    <n v="1"/>
    <n v="3"/>
    <n v="1"/>
    <n v="0"/>
    <n v="0"/>
    <n v="0"/>
    <n v="226"/>
    <n v="0"/>
    <n v="0"/>
    <n v="226"/>
    <n v="1"/>
    <n v="0"/>
    <n v="13"/>
  </r>
  <r>
    <s v="Row462_Row598_Row2_Row261_Row149_Row0_Row2_Row5"/>
    <n v="463"/>
    <s v="RES000463"/>
    <s v="Row1479"/>
    <x v="2"/>
    <s v="Row1374"/>
    <s v="Row1379"/>
    <x v="0"/>
    <s v="Row1350"/>
    <s v="Row1350"/>
    <s v="0"/>
    <n v="2"/>
    <n v="0"/>
    <n v="0"/>
    <n v="2"/>
    <n v="2"/>
    <n v="1"/>
    <n v="0"/>
    <n v="0"/>
    <n v="0"/>
    <s v="474.6"/>
    <n v="0"/>
    <n v="0"/>
    <s v="474.6"/>
    <n v="1"/>
    <n v="0"/>
    <n v="14"/>
  </r>
  <r>
    <s v="Row463_Row589_Row0_Row288_Row153_Row2_Row3_Row5"/>
    <n v="464"/>
    <s v="RES000464"/>
    <s v="Row1464"/>
    <x v="3"/>
    <s v="Row1425"/>
    <s v="Row1390"/>
    <x v="1"/>
    <s v="Row1351"/>
    <s v="Row1350"/>
    <s v="0"/>
    <n v="2"/>
    <n v="1"/>
    <n v="0"/>
    <n v="3"/>
    <n v="3"/>
    <n v="0"/>
    <n v="1"/>
    <n v="0"/>
    <n v="0"/>
    <s v="745.8"/>
    <n v="0"/>
    <n v="0"/>
    <s v="745.8"/>
    <n v="1"/>
    <n v="0"/>
    <n v="15"/>
  </r>
  <r>
    <s v="Row464_Row493_Row1_Row233_Row41_Row6_Row1_Row0"/>
    <n v="465"/>
    <s v="RES000465"/>
    <s v="Row1337"/>
    <x v="0"/>
    <s v="Row881"/>
    <s v="Row95"/>
    <x v="2"/>
    <s v="Row87"/>
    <s v="Row0"/>
    <s v="322.73"/>
    <n v="2"/>
    <n v="0"/>
    <n v="0"/>
    <n v="4"/>
    <n v="2"/>
    <n v="0"/>
    <n v="0"/>
    <n v="0"/>
    <n v="0"/>
    <s v="806.82"/>
    <s v="76.84"/>
    <n v="76.84"/>
    <s v="729.98"/>
    <n v="1"/>
    <n v="0"/>
    <n v="16"/>
  </r>
  <r>
    <s v="Row465_Row317_Row3_Row221_Row104_Row5_Row1_Row3"/>
    <n v="466"/>
    <s v="RES000466"/>
    <s v="Row709"/>
    <x v="1"/>
    <s v="Row692"/>
    <s v="Row353"/>
    <x v="3"/>
    <s v="Row87"/>
    <s v="Row4"/>
    <s v="477.76"/>
    <n v="3"/>
    <n v="0"/>
    <n v="0"/>
    <n v="5"/>
    <n v="3"/>
    <n v="0"/>
    <n v="0"/>
    <n v="0"/>
    <n v="0"/>
    <s v="1194.41"/>
    <s v="64.41"/>
    <n v="64.41"/>
    <n v="1130"/>
    <n v="1"/>
    <n v="0"/>
    <n v="17"/>
  </r>
  <r>
    <s v="Row466_Row438_Row2_Row237_Row37_Row4_Row0_Row3"/>
    <n v="467"/>
    <s v="RES000467"/>
    <s v="Row1102"/>
    <x v="2"/>
    <s v="Row913"/>
    <s v="Row89"/>
    <x v="4"/>
    <s v="Row0"/>
    <s v="Row4"/>
    <s v="5067.36"/>
    <n v="3"/>
    <n v="0"/>
    <n v="0"/>
    <n v="6"/>
    <n v="3"/>
    <n v="0"/>
    <n v="0"/>
    <n v="1"/>
    <n v="1"/>
    <s v="1689.12"/>
    <s v="265.32"/>
    <n v="265.32"/>
    <s v="1423.8"/>
    <n v="1"/>
    <n v="1"/>
    <n v="18"/>
  </r>
  <r>
    <s v="Row467_Row432_Row0_Row151_Row125_Row3_Row0_Row1"/>
    <n v="468"/>
    <s v="RES000468"/>
    <s v="Row1074"/>
    <x v="3"/>
    <s v="Row362"/>
    <s v="Row596"/>
    <x v="5"/>
    <s v="Row0"/>
    <s v="Row2"/>
    <s v="266.45"/>
    <n v="3"/>
    <n v="2"/>
    <n v="1"/>
    <n v="1"/>
    <n v="6"/>
    <n v="0"/>
    <n v="0"/>
    <n v="1"/>
    <n v="1"/>
    <s v="266.45"/>
    <s v="42.71"/>
    <n v="42.71"/>
    <s v="223.73999999999998"/>
    <n v="1"/>
    <n v="1"/>
    <n v="19"/>
  </r>
  <r>
    <s v="Row468_Row138_Row1_Row35_Row93_Row1_Row0_Row4"/>
    <n v="469"/>
    <s v="RES000469"/>
    <s v="Row265"/>
    <x v="0"/>
    <s v="Row85"/>
    <s v="Row265"/>
    <x v="6"/>
    <s v="Row0"/>
    <s v="Row9"/>
    <s v="1462.22"/>
    <n v="3"/>
    <n v="0"/>
    <n v="0"/>
    <n v="2"/>
    <n v="3"/>
    <n v="0"/>
    <n v="0"/>
    <n v="1"/>
    <n v="1"/>
    <s v="731.11"/>
    <s v="301.71"/>
    <n v="301.70999999999998"/>
    <s v="429.40000000000003"/>
    <n v="1"/>
    <n v="1"/>
    <n v="20"/>
  </r>
  <r>
    <s v="Row469_Row180_Row3_Row12_Row105_Row0_Row0_Row2"/>
    <n v="470"/>
    <s v="RES000470"/>
    <s v="Row358"/>
    <x v="1"/>
    <s v="Row29"/>
    <s v="Row358"/>
    <x v="0"/>
    <s v="Row0"/>
    <s v="Row3"/>
    <s v="2539.11"/>
    <n v="1"/>
    <n v="0"/>
    <n v="0"/>
    <n v="3"/>
    <n v="1"/>
    <n v="0"/>
    <n v="0"/>
    <n v="1"/>
    <n v="1"/>
    <s v="846.37"/>
    <s v="202.26999999999998"/>
    <n v="202.26999999999899"/>
    <s v="644.1"/>
    <n v="1"/>
    <n v="1"/>
    <n v="21"/>
  </r>
  <r>
    <s v="Row470_Row384_Row2_Row236_Row18_Row2_Row0_Row0"/>
    <n v="471"/>
    <s v="RES000471"/>
    <s v="Row907"/>
    <x v="2"/>
    <s v="Row907"/>
    <s v="Row42"/>
    <x v="1"/>
    <s v="Row0"/>
    <s v="Row0"/>
    <s v="1012.48"/>
    <n v="1"/>
    <n v="0"/>
    <n v="0"/>
    <n v="4"/>
    <n v="1"/>
    <n v="0"/>
    <n v="0"/>
    <n v="1"/>
    <n v="1"/>
    <s v="1012.48"/>
    <s v="63.28"/>
    <n v="63.28"/>
    <s v="949.2"/>
    <n v="1"/>
    <n v="1"/>
    <n v="22"/>
  </r>
  <r>
    <s v="Row471_Row205_Row0_Row105_Row22_Row6_Row0_Row3"/>
    <n v="472"/>
    <s v="RES000472"/>
    <s v="Row414"/>
    <x v="3"/>
    <s v="Row226"/>
    <s v="Row56"/>
    <x v="2"/>
    <s v="Row0"/>
    <s v="Row4"/>
    <s v="2619.34"/>
    <n v="1"/>
    <n v="1"/>
    <n v="0"/>
    <n v="5"/>
    <n v="2"/>
    <n v="0"/>
    <n v="0"/>
    <n v="1"/>
    <n v="1"/>
    <s v="1309.67"/>
    <s v="66.67"/>
    <n v="66.67"/>
    <n v="1243"/>
    <n v="1"/>
    <n v="1"/>
    <n v="23"/>
  </r>
  <r>
    <s v="Row472_Row354_Row1_Row21_Row80_Row5_Row0_Row1"/>
    <n v="473"/>
    <s v="RES000473"/>
    <s v="Row818"/>
    <x v="0"/>
    <s v="Row48"/>
    <s v="Row204"/>
    <x v="3"/>
    <s v="Row0"/>
    <s v="Row2"/>
    <s v="4618.89"/>
    <n v="2"/>
    <n v="0"/>
    <n v="0"/>
    <n v="6"/>
    <n v="2"/>
    <n v="0"/>
    <n v="0"/>
    <n v="1"/>
    <n v="1"/>
    <s v="1539.63"/>
    <s v="251.43"/>
    <n v="251.43"/>
    <s v="1288.2"/>
    <n v="1"/>
    <n v="1"/>
    <n v="24"/>
  </r>
  <r>
    <s v="Row473_Row160_Row3_Row134_Row28_Row4_Row0_Row4"/>
    <n v="474"/>
    <s v="RES000474"/>
    <s v="Row320"/>
    <x v="1"/>
    <s v="Row320"/>
    <s v="Row74"/>
    <x v="4"/>
    <s v="Row0"/>
    <s v="Row9"/>
    <s v="287.02"/>
    <n v="2"/>
    <n v="2"/>
    <n v="0"/>
    <n v="1"/>
    <n v="4"/>
    <n v="0"/>
    <n v="0"/>
    <n v="1"/>
    <n v="1"/>
    <s v="287.02"/>
    <s v="61.02"/>
    <n v="61.02"/>
    <s v="225.99999999999997"/>
    <n v="1"/>
    <n v="1"/>
    <n v="25"/>
  </r>
  <r>
    <s v="Row474_Row302_Row2_Row19_Row36_Row3_Row0_Row2"/>
    <n v="475"/>
    <s v="RES000475"/>
    <s v="Row665"/>
    <x v="2"/>
    <s v="Row45"/>
    <s v="Row88"/>
    <x v="5"/>
    <s v="Row0"/>
    <s v="Row3"/>
    <s v="1413.64"/>
    <n v="2"/>
    <n v="0"/>
    <n v="0"/>
    <n v="2"/>
    <n v="2"/>
    <n v="0"/>
    <n v="0"/>
    <n v="1"/>
    <n v="1"/>
    <s v="706.82"/>
    <s v="255.95"/>
    <n v="255.95"/>
    <s v="450.87000000000006"/>
    <n v="1"/>
    <n v="1"/>
    <n v="26"/>
  </r>
  <r>
    <s v="Row475_Row145_Row0_Row9_Row96_Row1_Row0_Row0"/>
    <n v="476"/>
    <s v="RES000476"/>
    <s v="Row285"/>
    <x v="3"/>
    <s v="Row23"/>
    <s v="Row285"/>
    <x v="6"/>
    <s v="Row0"/>
    <s v="Row0"/>
    <s v="2925.57"/>
    <n v="3"/>
    <n v="1"/>
    <n v="0"/>
    <n v="3"/>
    <n v="4"/>
    <n v="0"/>
    <n v="0"/>
    <n v="1"/>
    <n v="1"/>
    <s v="975.19"/>
    <s v="229.39000000000001"/>
    <n v="229.39"/>
    <s v="745.8000000000001"/>
    <n v="1"/>
    <n v="1"/>
    <n v="27"/>
  </r>
  <r>
    <s v="Row476_Row290_Row1_Row62_Row56_Row0_Row0_Row3"/>
    <n v="477"/>
    <s v="RES000477"/>
    <s v="Row641"/>
    <x v="0"/>
    <s v="Row140"/>
    <s v="Row137"/>
    <x v="0"/>
    <s v="Row0"/>
    <s v="Row4"/>
    <s v="849.76"/>
    <n v="3"/>
    <n v="0"/>
    <n v="0"/>
    <n v="4"/>
    <n v="3"/>
    <n v="0"/>
    <n v="0"/>
    <n v="1"/>
    <n v="1"/>
    <s v="849.76"/>
    <s v="76.84"/>
    <n v="76.84"/>
    <s v="772.92"/>
    <n v="1"/>
    <n v="1"/>
    <n v="28"/>
  </r>
  <r>
    <s v="Row477_Row183_Row3_Row98_Row17_Row2_Row0_Row1"/>
    <n v="478"/>
    <s v="RES000478"/>
    <s v="Row365"/>
    <x v="1"/>
    <s v="Row206"/>
    <s v="Row39"/>
    <x v="1"/>
    <s v="Row0"/>
    <s v="Row2"/>
    <s v="2420.46"/>
    <n v="3"/>
    <n v="0"/>
    <n v="0"/>
    <n v="5"/>
    <n v="3"/>
    <n v="0"/>
    <n v="0"/>
    <n v="1"/>
    <n v="1"/>
    <s v="1210.23"/>
    <s v="80.22999999999999"/>
    <n v="80.229999999999905"/>
    <n v="1130"/>
    <n v="1"/>
    <n v="1"/>
    <n v="29"/>
  </r>
  <r>
    <s v="Row478_Row154_Row2_Row131_Row73_Row6_Row0_Row4"/>
    <n v="479"/>
    <s v="RES000479"/>
    <s v="Row309"/>
    <x v="2"/>
    <s v="Row309"/>
    <s v="Row175"/>
    <x v="2"/>
    <s v="Row0"/>
    <s v="Row9"/>
    <s v="5081.61"/>
    <n v="3"/>
    <n v="0"/>
    <n v="0"/>
    <n v="6"/>
    <n v="3"/>
    <n v="0"/>
    <n v="0"/>
    <n v="1"/>
    <n v="1"/>
    <s v="1693.87"/>
    <s v="270.07"/>
    <n v="270.07"/>
    <s v="1423.8"/>
    <n v="1"/>
    <n v="1"/>
    <n v="30"/>
  </r>
  <r>
    <s v="Row479_Row250_Row0_Row147_Row31_Row5_Row0_Row2"/>
    <n v="480"/>
    <s v="RES000480"/>
    <s v="Row530"/>
    <x v="3"/>
    <s v="Row351"/>
    <s v="Row80"/>
    <x v="3"/>
    <s v="Row0"/>
    <s v="Row3"/>
    <s v="258.77"/>
    <n v="1"/>
    <n v="2"/>
    <n v="1"/>
    <n v="1"/>
    <n v="4"/>
    <n v="0"/>
    <n v="0"/>
    <n v="1"/>
    <n v="1"/>
    <s v="258.77"/>
    <s v="47.46"/>
    <n v="47.46"/>
    <s v="211.30999999999997"/>
    <n v="1"/>
    <n v="1"/>
    <n v="31"/>
  </r>
  <r>
    <s v="Row480_Row594_Row1_Row271_Row133_Row4_Row2_Row5"/>
    <n v="481"/>
    <s v="RES000481"/>
    <s v="Row1474"/>
    <x v="0"/>
    <s v="Row1394"/>
    <s v="Row1355"/>
    <x v="4"/>
    <s v="Row1350"/>
    <s v="Row1350"/>
    <s v="0"/>
    <n v="1"/>
    <n v="0"/>
    <n v="0"/>
    <n v="2"/>
    <n v="1"/>
    <n v="1"/>
    <n v="0"/>
    <n v="0"/>
    <n v="0"/>
    <s v="135.6"/>
    <n v="0"/>
    <n v="0"/>
    <s v="135.6"/>
    <n v="1"/>
    <n v="0"/>
    <n v="32"/>
  </r>
  <r>
    <s v="Row481_Row611_Row3_Row277_Row132_Row3_Row2_Row5"/>
    <n v="482"/>
    <s v="RES000482"/>
    <s v="Row1506"/>
    <x v="1"/>
    <s v="Row1400"/>
    <s v="Row1354"/>
    <x v="5"/>
    <s v="Row1350"/>
    <s v="Row1350"/>
    <s v="0"/>
    <n v="1"/>
    <n v="0"/>
    <n v="0"/>
    <n v="3"/>
    <n v="1"/>
    <n v="1"/>
    <n v="0"/>
    <n v="0"/>
    <n v="0"/>
    <s v="220.35"/>
    <n v="0"/>
    <n v="0"/>
    <s v="220.35"/>
    <n v="1"/>
    <n v="0"/>
    <n v="33"/>
  </r>
  <r>
    <s v="Row482_Row573_Row2_Row293_Row151_Row1_Row2_Row5"/>
    <n v="483"/>
    <s v="RES000483"/>
    <s v="Row1438"/>
    <x v="2"/>
    <s v="Row1438"/>
    <s v="Row1386"/>
    <x v="6"/>
    <s v="Row1350"/>
    <s v="Row1350"/>
    <s v="0"/>
    <n v="2"/>
    <n v="0"/>
    <n v="0"/>
    <n v="4"/>
    <n v="2"/>
    <n v="1"/>
    <n v="0"/>
    <n v="0"/>
    <n v="0"/>
    <s v="316.4"/>
    <n v="0"/>
    <n v="0"/>
    <s v="316.4"/>
    <n v="1"/>
    <n v="0"/>
    <n v="34"/>
  </r>
  <r>
    <s v="Row483_Row545_Row0_Row279_Row147_Row0_Row3_Row5"/>
    <n v="484"/>
    <s v="RES000484"/>
    <s v="Row1403"/>
    <x v="3"/>
    <s v="Row1403"/>
    <s v="Row1373"/>
    <x v="0"/>
    <s v="Row1351"/>
    <s v="Row1350"/>
    <s v="0"/>
    <n v="2"/>
    <n v="1"/>
    <n v="0"/>
    <n v="5"/>
    <n v="3"/>
    <n v="0"/>
    <n v="1"/>
    <n v="0"/>
    <n v="0"/>
    <s v="423.75"/>
    <n v="0"/>
    <n v="0"/>
    <s v="423.75"/>
    <n v="1"/>
    <n v="0"/>
    <n v="35"/>
  </r>
  <r>
    <s v="Row484_Row344_Row1_Row167_Row70_Row2_Row1_Row3"/>
    <n v="485"/>
    <s v="RES000485"/>
    <s v="Row797"/>
    <x v="0"/>
    <s v="Row413"/>
    <s v="Row167"/>
    <x v="1"/>
    <s v="Row87"/>
    <s v="Row4"/>
    <s v="163.62"/>
    <n v="2"/>
    <n v="0"/>
    <n v="0"/>
    <n v="6"/>
    <n v="2"/>
    <n v="0"/>
    <n v="0"/>
    <n v="0"/>
    <n v="0"/>
    <s v="409.06"/>
    <s v="22.6"/>
    <n v="22.6"/>
    <s v="386.46"/>
    <n v="1"/>
    <n v="0"/>
    <n v="36"/>
  </r>
  <r>
    <s v="Row485_Row409_Row3_Row64_Row74_Row6_Row1_Row1"/>
    <n v="486"/>
    <s v="RES000486"/>
    <s v="Row988"/>
    <x v="1"/>
    <s v="Row144"/>
    <s v="Row178"/>
    <x v="2"/>
    <s v="Row87"/>
    <s v="Row2"/>
    <s v="50.85"/>
    <n v="3"/>
    <n v="2"/>
    <n v="0"/>
    <n v="1"/>
    <n v="5"/>
    <n v="0"/>
    <n v="0"/>
    <n v="0"/>
    <n v="0"/>
    <s v="127.13"/>
    <s v="61.02"/>
    <n v="61.02"/>
    <s v="66.10999999999999"/>
    <n v="1"/>
    <n v="0"/>
    <n v="37"/>
  </r>
  <r>
    <s v="Row486_Row57_Row2_Row50_Row50_Row5_Row0_Row1"/>
    <n v="487"/>
    <s v="RES000487"/>
    <s v="Row118"/>
    <x v="2"/>
    <s v="Row118"/>
    <s v="Row118"/>
    <x v="3"/>
    <s v="Row0"/>
    <s v="Row2"/>
    <s v="865.58"/>
    <n v="3"/>
    <n v="0"/>
    <n v="0"/>
    <n v="2"/>
    <n v="3"/>
    <n v="0"/>
    <n v="0"/>
    <n v="1"/>
    <n v="1"/>
    <s v="432.79"/>
    <s v="274.59"/>
    <n v="274.58999999999997"/>
    <s v="158.20000000000005"/>
    <n v="1"/>
    <n v="1"/>
    <n v="38"/>
  </r>
  <r>
    <s v="Row487_Row142_Row0_Row125_Row94_Row4_Row0_Row4"/>
    <n v="488"/>
    <s v="RES000488"/>
    <s v="Row277"/>
    <x v="3"/>
    <s v="Row277"/>
    <s v="Row277"/>
    <x v="4"/>
    <s v="Row0"/>
    <s v="Row9"/>
    <s v="1427.8799999999999"/>
    <n v="3"/>
    <n v="1"/>
    <n v="0"/>
    <n v="3"/>
    <n v="4"/>
    <n v="0"/>
    <n v="0"/>
    <n v="1"/>
    <n v="1"/>
    <s v="475.96"/>
    <s v="221.71"/>
    <n v="221.71"/>
    <s v="254.24999999999997"/>
    <n v="1"/>
    <n v="1"/>
    <n v="39"/>
  </r>
  <r>
    <s v="Row488_Row472_Row1_Row22_Row78_Row3_Row0_Row2"/>
    <n v="489"/>
    <s v="RES000489"/>
    <s v="Row1252"/>
    <x v="0"/>
    <s v="Row51"/>
    <s v="Row198"/>
    <x v="5"/>
    <s v="Row0"/>
    <s v="Row3"/>
    <s v="340.36"/>
    <n v="3"/>
    <n v="0"/>
    <n v="0"/>
    <n v="4"/>
    <n v="3"/>
    <n v="0"/>
    <n v="0"/>
    <n v="1"/>
    <n v="1"/>
    <s v="340.36"/>
    <s v="69.16"/>
    <n v="69.16"/>
    <s v="271.20000000000005"/>
    <n v="1"/>
    <n v="1"/>
    <n v="40"/>
  </r>
  <r>
    <s v="Row489_Row243_Row3_Row186_Row42_Row1_Row0_Row0"/>
    <n v="490"/>
    <s v="RES000490"/>
    <s v="Row514"/>
    <x v="1"/>
    <s v="Row514"/>
    <s v="Row96"/>
    <x v="6"/>
    <s v="Row0"/>
    <s v="Row0"/>
    <s v="858.24"/>
    <n v="1"/>
    <n v="0"/>
    <n v="0"/>
    <n v="5"/>
    <n v="1"/>
    <n v="0"/>
    <n v="0"/>
    <n v="1"/>
    <n v="1"/>
    <s v="429.12"/>
    <s v="80.22999999999999"/>
    <n v="80.229999999999905"/>
    <s v="348.89"/>
    <n v="1"/>
    <n v="1"/>
    <n v="41"/>
  </r>
  <r>
    <s v="Row490_Row172_Row2_Row18_Row65_Row0_Row0_Row3"/>
    <n v="491"/>
    <s v="RES000491"/>
    <s v="Row342"/>
    <x v="2"/>
    <s v="Row42"/>
    <s v="Row150"/>
    <x v="0"/>
    <s v="Row0"/>
    <s v="Row4"/>
    <s v="2234.0099999999998"/>
    <n v="1"/>
    <n v="0"/>
    <n v="0"/>
    <n v="6"/>
    <n v="1"/>
    <n v="0"/>
    <n v="0"/>
    <n v="1"/>
    <n v="1"/>
    <s v="744.67"/>
    <s v="270.07"/>
    <n v="270.07"/>
    <s v="474.59999999999997"/>
    <n v="1"/>
    <n v="1"/>
    <n v="42"/>
  </r>
  <r>
    <s v="Row491_Row275_Row0_Row206_Row0_Row2_Row0_Row1"/>
    <n v="492"/>
    <s v="RES000492"/>
    <s v="Row592"/>
    <x v="3"/>
    <s v="Row592"/>
    <s v="Row0"/>
    <x v="1"/>
    <s v="Row0"/>
    <s v="Row2"/>
    <s v="132.21"/>
    <n v="1"/>
    <n v="2"/>
    <n v="1"/>
    <n v="1"/>
    <n v="4"/>
    <n v="0"/>
    <n v="0"/>
    <n v="1"/>
    <n v="1"/>
    <s v="132.21"/>
    <s v="47.46"/>
    <n v="47.46"/>
    <s v="84.75"/>
    <n v="1"/>
    <n v="1"/>
    <n v="43"/>
  </r>
  <r>
    <s v="Row492_Row424_Row1_Row123_Row20_Row6_Row0_Row4"/>
    <n v="493"/>
    <s v="RES000493"/>
    <s v="Row1031"/>
    <x v="0"/>
    <s v="Row272"/>
    <s v="Row48"/>
    <x v="2"/>
    <s v="Row0"/>
    <s v="Row9"/>
    <s v="874.62"/>
    <n v="2"/>
    <n v="0"/>
    <n v="0"/>
    <n v="2"/>
    <n v="2"/>
    <n v="0"/>
    <n v="0"/>
    <n v="1"/>
    <n v="1"/>
    <s v="437.31"/>
    <s v="301.71"/>
    <n v="301.70999999999998"/>
    <s v="135.60000000000002"/>
    <n v="1"/>
    <n v="1"/>
    <n v="44"/>
  </r>
  <r>
    <s v="Row493_Row137_Row3_Row30_Row68_Row5_Row0_Row2"/>
    <n v="494"/>
    <s v="RES000494"/>
    <s v="Row262"/>
    <x v="1"/>
    <s v="Row74"/>
    <s v="Row162"/>
    <x v="3"/>
    <s v="Row0"/>
    <s v="Row3"/>
    <s v="1254.6299999999999"/>
    <n v="2"/>
    <n v="0"/>
    <n v="0"/>
    <n v="3"/>
    <n v="2"/>
    <n v="0"/>
    <n v="0"/>
    <n v="1"/>
    <n v="1"/>
    <s v="418.21"/>
    <s v="197.85999999999999"/>
    <n v="197.85999999999899"/>
    <s v="220.35"/>
    <n v="1"/>
    <n v="1"/>
    <n v="45"/>
  </r>
  <r>
    <s v="Row494_Row156_Row2_Row132_Row26_Row4_Row0_Row0"/>
    <n v="495"/>
    <s v="RES000495"/>
    <s v="Row315"/>
    <x v="2"/>
    <s v="Row315"/>
    <s v="Row65"/>
    <x v="4"/>
    <s v="Row0"/>
    <s v="Row0"/>
    <s v="332.22"/>
    <n v="2"/>
    <n v="0"/>
    <n v="0"/>
    <n v="4"/>
    <n v="2"/>
    <n v="0"/>
    <n v="0"/>
    <n v="1"/>
    <n v="1"/>
    <s v="332.22"/>
    <s v="63.28"/>
    <n v="63.28"/>
    <s v="268.94000000000005"/>
    <n v="1"/>
    <n v="1"/>
    <n v="46"/>
  </r>
  <r>
    <s v="Row495_Row78_Row0_Row71_Row9_Row3_Row0_Row3"/>
    <n v="496"/>
    <s v="RES000496"/>
    <s v="Row152"/>
    <x v="3"/>
    <s v="Row152"/>
    <s v="Row23"/>
    <x v="5"/>
    <s v="Row0"/>
    <s v="Row4"/>
    <s v="972.02"/>
    <n v="3"/>
    <n v="1"/>
    <n v="0"/>
    <n v="5"/>
    <n v="4"/>
    <n v="0"/>
    <n v="0"/>
    <n v="1"/>
    <n v="1"/>
    <s v="486.01"/>
    <s v="62.26"/>
    <n v="62.26"/>
    <s v="423.75"/>
    <n v="1"/>
    <n v="1"/>
    <n v="47"/>
  </r>
  <r>
    <s v="Row496_Row212_Row1_Row173_Row98_Row1_Row0_Row1"/>
    <n v="497"/>
    <s v="RES000497"/>
    <s v="Row429"/>
    <x v="0"/>
    <s v="Row429"/>
    <s v="Row319"/>
    <x v="6"/>
    <s v="Row0"/>
    <s v="Row2"/>
    <s v="2030.6100000000001"/>
    <n v="3"/>
    <n v="0"/>
    <n v="0"/>
    <n v="6"/>
    <n v="3"/>
    <n v="0"/>
    <n v="0"/>
    <n v="1"/>
    <n v="1"/>
    <s v="676.87"/>
    <s v="270.07"/>
    <n v="270.07"/>
    <s v="406.8"/>
    <n v="1"/>
    <n v="1"/>
    <n v="48"/>
  </r>
  <r>
    <s v="Row497_Row136_Row3_Row121_Row23_Row0_Row0_Row4"/>
    <n v="498"/>
    <s v="RES000498"/>
    <s v="Row261"/>
    <x v="1"/>
    <s v="Row261"/>
    <s v="Row59"/>
    <x v="0"/>
    <s v="Row0"/>
    <s v="Row9"/>
    <s v="134.47"/>
    <n v="3"/>
    <n v="2"/>
    <n v="0"/>
    <n v="1"/>
    <n v="5"/>
    <n v="0"/>
    <n v="0"/>
    <n v="1"/>
    <n v="1"/>
    <s v="134.47"/>
    <s v="61.02"/>
    <n v="61.02"/>
    <s v="73.44999999999999"/>
    <n v="1"/>
    <n v="1"/>
    <n v="49"/>
  </r>
  <r>
    <s v="Row498_Row483_Row2_Row82_Row30_Row2_Row0_Row2"/>
    <n v="499"/>
    <s v="RES000499"/>
    <s v="Row1288"/>
    <x v="2"/>
    <s v="Row175"/>
    <s v="Row78"/>
    <x v="1"/>
    <s v="Row0"/>
    <s v="Row3"/>
    <s v="865.58"/>
    <n v="3"/>
    <n v="0"/>
    <n v="0"/>
    <n v="2"/>
    <n v="3"/>
    <n v="0"/>
    <n v="0"/>
    <n v="1"/>
    <n v="1"/>
    <s v="432.79"/>
    <s v="274.59"/>
    <n v="274.58999999999997"/>
    <s v="158.20000000000005"/>
    <n v="1"/>
    <n v="1"/>
    <n v="50"/>
  </r>
  <r>
    <s v="Row499_Row426_Row0_Row163_Row103_Row6_Row0_Row0"/>
    <n v="500"/>
    <s v="RES000500"/>
    <s v="Row1044"/>
    <x v="3"/>
    <s v="Row399"/>
    <s v="Row351"/>
    <x v="2"/>
    <s v="Row0"/>
    <s v="Row0"/>
    <s v="1412.79"/>
    <n v="1"/>
    <n v="1"/>
    <n v="0"/>
    <n v="3"/>
    <n v="2"/>
    <n v="0"/>
    <n v="0"/>
    <n v="1"/>
    <n v="1"/>
    <s v="470.93"/>
    <s v="229.39000000000001"/>
    <n v="229.39"/>
    <s v="241.54"/>
    <n v="1"/>
    <n v="1"/>
    <n v="51"/>
  </r>
  <r>
    <s v="Row500_Row597_Row1_Row245_Row157_Row5_Row2_Row5"/>
    <n v="501"/>
    <s v="RES000501"/>
    <s v="Row1478"/>
    <x v="0"/>
    <s v="Row1355"/>
    <s v="Row1410"/>
    <x v="3"/>
    <s v="Row1350"/>
    <s v="Row1350"/>
    <s v="0"/>
    <n v="1"/>
    <n v="0"/>
    <n v="0"/>
    <n v="4"/>
    <n v="1"/>
    <n v="1"/>
    <n v="0"/>
    <n v="0"/>
    <n v="0"/>
    <s v="271.2"/>
    <n v="0"/>
    <n v="0"/>
    <s v="271.2"/>
    <n v="1"/>
    <n v="0"/>
    <n v="52"/>
  </r>
  <r>
    <s v="Row501_Row593_Row3_Row244_Row141_Row4_Row2_Row5"/>
    <n v="502"/>
    <s v="RES000502"/>
    <s v="Row1472"/>
    <x v="1"/>
    <s v="Row1354"/>
    <s v="Row1364"/>
    <x v="4"/>
    <s v="Row1350"/>
    <s v="Row1350"/>
    <s v="0"/>
    <n v="1"/>
    <n v="0"/>
    <n v="0"/>
    <n v="5"/>
    <n v="1"/>
    <n v="1"/>
    <n v="0"/>
    <n v="0"/>
    <n v="0"/>
    <s v="367.25"/>
    <n v="0"/>
    <n v="0"/>
    <s v="367.25"/>
    <n v="1"/>
    <n v="0"/>
    <n v="53"/>
  </r>
  <r>
    <s v="Row502_Row617_Row2_Row289_Row152_Row3_Row2_Row5"/>
    <n v="503"/>
    <s v="RES000503"/>
    <s v="Row1520"/>
    <x v="2"/>
    <s v="Row1430"/>
    <s v="Row1389"/>
    <x v="5"/>
    <s v="Row1350"/>
    <s v="Row1350"/>
    <s v="0"/>
    <n v="2"/>
    <n v="0"/>
    <n v="0"/>
    <n v="6"/>
    <n v="2"/>
    <n v="1"/>
    <n v="0"/>
    <n v="0"/>
    <n v="0"/>
    <s v="474.6"/>
    <n v="0"/>
    <n v="0"/>
    <s v="474.6"/>
    <n v="1"/>
    <n v="0"/>
    <n v="54"/>
  </r>
  <r>
    <s v="Row503_Row514_Row0_Row257_Row131_Row1_Row3_Row5"/>
    <n v="504"/>
    <s v="RES000504"/>
    <s v="Row1369"/>
    <x v="3"/>
    <s v="Row1369"/>
    <s v="Row1353"/>
    <x v="6"/>
    <s v="Row1351"/>
    <s v="Row1350"/>
    <s v="0"/>
    <n v="2"/>
    <n v="2"/>
    <n v="1"/>
    <n v="1"/>
    <n v="5"/>
    <n v="0"/>
    <n v="1"/>
    <n v="0"/>
    <n v="0"/>
    <s v="76.28"/>
    <n v="0"/>
    <n v="0"/>
    <s v="76.28"/>
    <n v="1"/>
    <n v="0"/>
    <n v="55"/>
  </r>
  <r>
    <s v="Row504_Row185_Row1_Row155_Row108_Row0_Row1_Row1"/>
    <n v="505"/>
    <s v="RES000505"/>
    <s v="Row372"/>
    <x v="0"/>
    <s v="Row372"/>
    <s v="Row372"/>
    <x v="0"/>
    <s v="Row87"/>
    <s v="Row2"/>
    <s v="134.24"/>
    <n v="2"/>
    <n v="0"/>
    <n v="0"/>
    <n v="2"/>
    <n v="2"/>
    <n v="0"/>
    <n v="0"/>
    <n v="0"/>
    <n v="0"/>
    <s v="335.61"/>
    <s v="206.79"/>
    <n v="206.79"/>
    <s v="128.82000000000002"/>
    <n v="1"/>
    <n v="0"/>
    <n v="56"/>
  </r>
  <r>
    <s v="Row505_Row312_Row3_Row196_Row60_Row2_Row1_Row4"/>
    <n v="506"/>
    <s v="RES000506"/>
    <s v="Row693"/>
    <x v="1"/>
    <s v="Row558"/>
    <s v="Row144"/>
    <x v="1"/>
    <s v="Row87"/>
    <s v="Row9"/>
    <s v="126.11"/>
    <n v="3"/>
    <n v="0"/>
    <n v="0"/>
    <n v="3"/>
    <n v="3"/>
    <n v="0"/>
    <n v="0"/>
    <n v="0"/>
    <n v="0"/>
    <s v="315.27"/>
    <s v="94.92"/>
    <n v="94.92"/>
    <s v="220.34999999999997"/>
    <n v="1"/>
    <n v="0"/>
    <n v="57"/>
  </r>
  <r>
    <s v="Row506_Row108_Row2_Row97_Row64_Row6_Row0_Row4"/>
    <n v="507"/>
    <s v="RES000507"/>
    <s v="Row205"/>
    <x v="2"/>
    <s v="Row205"/>
    <s v="Row149"/>
    <x v="2"/>
    <s v="Row0"/>
    <s v="Row9"/>
    <s v="379.68"/>
    <n v="3"/>
    <n v="0"/>
    <n v="0"/>
    <n v="4"/>
    <n v="3"/>
    <n v="0"/>
    <n v="0"/>
    <n v="1"/>
    <n v="1"/>
    <s v="379.68"/>
    <s v="63.28"/>
    <n v="63.28"/>
    <s v="316.4"/>
    <n v="1"/>
    <n v="1"/>
    <n v="58"/>
  </r>
  <r>
    <s v="Row507_Row37_Row0_Row34_Row32_Row5_Row0_Row2"/>
    <n v="508"/>
    <s v="RES000508"/>
    <s v="Row82"/>
    <x v="3"/>
    <s v="Row82"/>
    <s v="Row82"/>
    <x v="3"/>
    <s v="Row0"/>
    <s v="Row3"/>
    <s v="980.84"/>
    <n v="3"/>
    <n v="1"/>
    <n v="0"/>
    <n v="5"/>
    <n v="4"/>
    <n v="0"/>
    <n v="0"/>
    <n v="1"/>
    <n v="1"/>
    <s v="490.42"/>
    <s v="66.67"/>
    <n v="66.67"/>
    <s v="423.75"/>
    <n v="1"/>
    <n v="1"/>
    <n v="59"/>
  </r>
  <r>
    <s v="Row508_Row300_Row1_Row111_Row21_Row4_Row0_Row0"/>
    <n v="509"/>
    <s v="RES000509"/>
    <s v="Row661"/>
    <x v="0"/>
    <s v="Row238"/>
    <s v="Row51"/>
    <x v="4"/>
    <s v="Row0"/>
    <s v="Row0"/>
    <s v="2012.31"/>
    <n v="3"/>
    <n v="0"/>
    <n v="0"/>
    <n v="6"/>
    <n v="3"/>
    <n v="0"/>
    <n v="0"/>
    <n v="1"/>
    <n v="1"/>
    <s v="670.77"/>
    <s v="263.97"/>
    <n v="263.97000000000003"/>
    <s v="406.79999999999995"/>
    <n v="1"/>
    <n v="1"/>
    <n v="60"/>
  </r>
  <r>
    <s v="Row509_Row469_Row3_Row160_Row5_Row3_Row0_Row3"/>
    <n v="510"/>
    <s v="RES000510"/>
    <s v="Row1241"/>
    <x v="1"/>
    <s v="Row391"/>
    <s v="Row9"/>
    <x v="5"/>
    <s v="Row0"/>
    <s v="Row4"/>
    <s v="117.35"/>
    <n v="1"/>
    <n v="2"/>
    <n v="0"/>
    <n v="1"/>
    <n v="3"/>
    <n v="0"/>
    <n v="0"/>
    <n v="1"/>
    <n v="1"/>
    <s v="117.35"/>
    <s v="54.92"/>
    <n v="54.92"/>
    <s v="62.42999999999999"/>
    <n v="1"/>
    <n v="1"/>
    <n v="61"/>
  </r>
  <r>
    <s v="Row510_Row453_Row2_Row70_Row100_Row1_Row0_Row1"/>
    <n v="511"/>
    <s v="RES000511"/>
    <s v="Row1179"/>
    <x v="2"/>
    <s v="Row150"/>
    <s v="Row332"/>
    <x v="6"/>
    <s v="Row0"/>
    <s v="Row2"/>
    <s v="865.58"/>
    <n v="1"/>
    <n v="0"/>
    <n v="0"/>
    <n v="2"/>
    <n v="1"/>
    <n v="0"/>
    <n v="0"/>
    <n v="1"/>
    <n v="1"/>
    <s v="432.79"/>
    <s v="274.59"/>
    <n v="274.58999999999997"/>
    <s v="158.20000000000005"/>
    <n v="1"/>
    <n v="1"/>
    <n v="62"/>
  </r>
  <r>
    <s v="Row511_Row324_Row0_Row222_Row122_Row0_Row0_Row4"/>
    <n v="512"/>
    <s v="RES000512"/>
    <s v="Row724"/>
    <x v="3"/>
    <s v="Row724"/>
    <s v="Row555"/>
    <x v="0"/>
    <s v="Row0"/>
    <s v="Row9"/>
    <s v="1450.92"/>
    <n v="1"/>
    <n v="1"/>
    <n v="0"/>
    <n v="3"/>
    <n v="2"/>
    <n v="0"/>
    <n v="0"/>
    <n v="1"/>
    <n v="1"/>
    <s v="483.64"/>
    <s v="229.39000000000001"/>
    <n v="229.39"/>
    <s v="254.24999999999997"/>
    <n v="1"/>
    <n v="1"/>
    <n v="63"/>
  </r>
  <r>
    <s v="Row512_Row353_Row1_Row198_Row123_Row2_Row0_Row2"/>
    <n v="513"/>
    <s v="RES000513"/>
    <s v="Row817"/>
    <x v="0"/>
    <s v="Row564"/>
    <s v="Row559"/>
    <x v="1"/>
    <s v="Row0"/>
    <s v="Row3"/>
    <s v="320.92"/>
    <n v="2"/>
    <n v="0"/>
    <n v="0"/>
    <n v="4"/>
    <n v="2"/>
    <n v="0"/>
    <n v="0"/>
    <n v="1"/>
    <n v="1"/>
    <s v="320.92"/>
    <s v="76.84"/>
    <n v="76.84"/>
    <s v="244.08"/>
    <n v="1"/>
    <n v="1"/>
    <n v="64"/>
  </r>
  <r>
    <s v="Row513_Row233_Row3_Row74_Row89_Row6_Row0_Row0"/>
    <n v="514"/>
    <s v="RES000514"/>
    <s v="Row487"/>
    <x v="1"/>
    <s v="Row162"/>
    <s v="Row247"/>
    <x v="2"/>
    <s v="Row0"/>
    <s v="Row0"/>
    <s v="894.96"/>
    <n v="2"/>
    <n v="0"/>
    <n v="0"/>
    <n v="5"/>
    <n v="2"/>
    <n v="0"/>
    <n v="0"/>
    <n v="1"/>
    <n v="1"/>
    <s v="447.48"/>
    <s v="80.22999999999999"/>
    <n v="80.229999999999905"/>
    <s v="367.25"/>
    <n v="1"/>
    <n v="1"/>
    <n v="65"/>
  </r>
  <r>
    <s v="Row514_Row473_Row2_Row27_Row43_Row5_Row0_Row3"/>
    <n v="515"/>
    <s v="RES000515"/>
    <s v="Row1253"/>
    <x v="2"/>
    <s v="Row65"/>
    <s v="Row98"/>
    <x v="3"/>
    <s v="Row0"/>
    <s v="Row4"/>
    <s v="2100.7799999999997"/>
    <n v="2"/>
    <n v="0"/>
    <n v="0"/>
    <n v="6"/>
    <n v="2"/>
    <n v="0"/>
    <n v="0"/>
    <n v="1"/>
    <n v="1"/>
    <s v="700.26"/>
    <s v="249.39000000000001"/>
    <n v="249.39"/>
    <s v="450.87"/>
    <n v="1"/>
    <n v="1"/>
    <n v="66"/>
  </r>
  <r>
    <s v="Row515_Row475_Row0_Row95_Row79_Row4_Row0_Row1"/>
    <n v="516"/>
    <s v="RES000516"/>
    <s v="Row1259"/>
    <x v="3"/>
    <s v="Row201"/>
    <s v="Row202"/>
    <x v="4"/>
    <s v="Row0"/>
    <s v="Row2"/>
    <s v="132.21"/>
    <n v="3"/>
    <n v="2"/>
    <n v="1"/>
    <n v="1"/>
    <n v="6"/>
    <n v="0"/>
    <n v="0"/>
    <n v="1"/>
    <n v="1"/>
    <s v="132.21"/>
    <s v="47.46"/>
    <n v="47.46"/>
    <s v="84.75"/>
    <n v="1"/>
    <n v="1"/>
    <n v="67"/>
  </r>
  <r>
    <s v="Row516_Row450_Row1_Row225_Row33_Row3_Row0_Row4"/>
    <n v="517"/>
    <s v="RES000517"/>
    <s v="Row1160"/>
    <x v="0"/>
    <s v="Row773"/>
    <s v="Row84"/>
    <x v="5"/>
    <s v="Row0"/>
    <s v="Row9"/>
    <s v="833.26"/>
    <n v="3"/>
    <n v="0"/>
    <n v="0"/>
    <n v="2"/>
    <n v="3"/>
    <n v="0"/>
    <n v="0"/>
    <n v="1"/>
    <n v="1"/>
    <s v="416.63"/>
    <s v="281.03000000000003"/>
    <n v="281.02999999999997"/>
    <s v="135.59999999999997"/>
    <n v="1"/>
    <n v="1"/>
    <n v="68"/>
  </r>
  <r>
    <s v="Row517_Row237_Row3_Row183_Row107_Row1_Row0_Row2"/>
    <n v="518"/>
    <s v="RES000518"/>
    <s v="Row499"/>
    <x v="1"/>
    <s v="Row499"/>
    <s v="Row363"/>
    <x v="6"/>
    <s v="Row0"/>
    <s v="Row3"/>
    <s v="1267.8600000000001"/>
    <n v="3"/>
    <n v="0"/>
    <n v="0"/>
    <n v="3"/>
    <n v="3"/>
    <n v="0"/>
    <n v="0"/>
    <n v="1"/>
    <n v="1"/>
    <s v="422.62"/>
    <s v="202.26999999999998"/>
    <n v="202.26999999999899"/>
    <s v="220.35000000000002"/>
    <n v="1"/>
    <n v="1"/>
    <n v="69"/>
  </r>
  <r>
    <s v="Row518_Row117_Row2_Row104_Row3_Row0_Row0_Row0"/>
    <n v="519"/>
    <s v="RES000519"/>
    <s v="Row225"/>
    <x v="2"/>
    <s v="Row225"/>
    <s v="Row4"/>
    <x v="0"/>
    <s v="Row0"/>
    <s v="Row0"/>
    <s v="379.68"/>
    <n v="3"/>
    <n v="0"/>
    <n v="0"/>
    <n v="4"/>
    <n v="3"/>
    <n v="0"/>
    <n v="0"/>
    <n v="1"/>
    <n v="1"/>
    <s v="379.68"/>
    <s v="63.28"/>
    <n v="63.28"/>
    <s v="316.4"/>
    <n v="1"/>
    <n v="1"/>
    <n v="70"/>
  </r>
  <r>
    <s v="Row519_Row495_Row0_Row45_Row87_Row2_Row0_Row3"/>
    <n v="520"/>
    <s v="RES000520"/>
    <s v="Row1341"/>
    <x v="3"/>
    <s v="Row101"/>
    <s v="Row230"/>
    <x v="1"/>
    <s v="Row0"/>
    <s v="Row4"/>
    <s v="938.46"/>
    <n v="1"/>
    <n v="1"/>
    <n v="0"/>
    <n v="5"/>
    <n v="2"/>
    <n v="0"/>
    <n v="0"/>
    <n v="1"/>
    <n v="1"/>
    <s v="469.23"/>
    <s v="66.67"/>
    <n v="66.67"/>
    <s v="402.56"/>
    <n v="1"/>
    <n v="1"/>
    <n v="71"/>
  </r>
  <r>
    <s v="Row520_Row592_Row1_Row286_Row128_Row6_Row2_Row5"/>
    <n v="521"/>
    <s v="RES000521"/>
    <s v="Row1471"/>
    <x v="0"/>
    <s v="Row1421"/>
    <s v="Row1350"/>
    <x v="2"/>
    <s v="Row1350"/>
    <s v="Row1350"/>
    <s v="0"/>
    <n v="1"/>
    <n v="0"/>
    <n v="0"/>
    <n v="6"/>
    <n v="1"/>
    <n v="1"/>
    <n v="0"/>
    <n v="0"/>
    <n v="0"/>
    <s v="616.98"/>
    <n v="0"/>
    <n v="0"/>
    <s v="616.98"/>
    <n v="1"/>
    <n v="0"/>
    <n v="72"/>
  </r>
  <r>
    <s v="Row521_Row612_Row3_Row285_Row158_Row5_Row2_Row5"/>
    <n v="522"/>
    <s v="RES000522"/>
    <s v="Row1508"/>
    <x v="1"/>
    <s v="Row1418"/>
    <s v="Row1436"/>
    <x v="3"/>
    <s v="Row1350"/>
    <s v="Row1350"/>
    <s v="0"/>
    <n v="1"/>
    <n v="2"/>
    <n v="0"/>
    <n v="1"/>
    <n v="3"/>
    <n v="1"/>
    <n v="0"/>
    <n v="0"/>
    <n v="0"/>
    <s v="98.65"/>
    <n v="0"/>
    <n v="0"/>
    <s v="98.65"/>
    <n v="1"/>
    <n v="0"/>
    <n v="73"/>
  </r>
  <r>
    <s v="Row522_Row508_Row2_Row251_Row140_Row4_Row2_Row5"/>
    <n v="523"/>
    <s v="RES000523"/>
    <s v="Row1362"/>
    <x v="2"/>
    <s v="Row1362"/>
    <s v="Row1362"/>
    <x v="4"/>
    <s v="Row1350"/>
    <s v="Row1350"/>
    <s v="0"/>
    <n v="2"/>
    <n v="0"/>
    <n v="0"/>
    <n v="2"/>
    <n v="2"/>
    <n v="1"/>
    <n v="0"/>
    <n v="0"/>
    <n v="0"/>
    <s v="232.78"/>
    <n v="0"/>
    <n v="0"/>
    <s v="232.78"/>
    <n v="1"/>
    <n v="0"/>
    <n v="74"/>
  </r>
  <r>
    <s v="Row523_Row517_Row0_Row259_Row146_Row3_Row3_Row5"/>
    <n v="524"/>
    <s v="RES000524"/>
    <s v="Row1372"/>
    <x v="3"/>
    <s v="Row1372"/>
    <s v="Row1372"/>
    <x v="5"/>
    <s v="Row1351"/>
    <s v="Row1350"/>
    <s v="0"/>
    <n v="2"/>
    <n v="1"/>
    <n v="0"/>
    <n v="3"/>
    <n v="3"/>
    <n v="0"/>
    <n v="1"/>
    <n v="0"/>
    <n v="0"/>
    <s v="369.51"/>
    <n v="0"/>
    <n v="0"/>
    <s v="369.51"/>
    <n v="1"/>
    <n v="0"/>
    <n v="75"/>
  </r>
  <r>
    <s v="Row524_Row191_Row1_Row159_Row111_Row1_Row1_Row4"/>
    <n v="525"/>
    <s v="RES000525"/>
    <s v="Row384"/>
    <x v="0"/>
    <s v="Row384"/>
    <s v="Row384"/>
    <x v="6"/>
    <s v="Row87"/>
    <s v="Row9"/>
    <s v="170.58"/>
    <n v="2"/>
    <n v="0"/>
    <n v="0"/>
    <n v="4"/>
    <n v="2"/>
    <n v="0"/>
    <n v="0"/>
    <n v="0"/>
    <n v="0"/>
    <s v="426.46"/>
    <s v="76.84"/>
    <n v="76.84"/>
    <s v="349.62"/>
    <n v="1"/>
    <n v="0"/>
    <n v="76"/>
  </r>
  <r>
    <s v="Row525_Row133_Row3_Row118_Row38_Row0_Row1_Row2"/>
    <n v="526"/>
    <s v="RES000526"/>
    <s v="Row258"/>
    <x v="1"/>
    <s v="Row258"/>
    <s v="Row91"/>
    <x v="0"/>
    <s v="Row87"/>
    <s v="Row3"/>
    <s v="244.98"/>
    <n v="3"/>
    <n v="0"/>
    <n v="0"/>
    <n v="5"/>
    <n v="3"/>
    <n v="0"/>
    <n v="0"/>
    <n v="0"/>
    <n v="0"/>
    <s v="612.46"/>
    <s v="64.41"/>
    <n v="64.41"/>
    <s v="548.0500000000001"/>
    <n v="1"/>
    <n v="0"/>
    <n v="77"/>
  </r>
  <r>
    <s v="Row526_Row242_Row2_Row185_Row82_Row2_Row0_Row2"/>
    <n v="527"/>
    <s v="RES000527"/>
    <s v="Row511"/>
    <x v="2"/>
    <s v="Row511"/>
    <s v="Row210"/>
    <x v="1"/>
    <s v="Row0"/>
    <s v="Row3"/>
    <s v="2905.23"/>
    <n v="3"/>
    <n v="0"/>
    <n v="0"/>
    <n v="6"/>
    <n v="3"/>
    <n v="0"/>
    <n v="0"/>
    <n v="1"/>
    <n v="1"/>
    <s v="968.41"/>
    <s v="270.07"/>
    <n v="270.07"/>
    <s v="698.3399999999999"/>
    <n v="1"/>
    <n v="1"/>
    <n v="78"/>
  </r>
  <r>
    <s v="Row527_Row75_Row0_Row68_Row63_Row6_Row0_Row0"/>
    <n v="528"/>
    <s v="RES000528"/>
    <s v="Row148"/>
    <x v="3"/>
    <s v="Row148"/>
    <s v="Row148"/>
    <x v="2"/>
    <s v="Row0"/>
    <s v="Row0"/>
    <s v="170.63"/>
    <n v="3"/>
    <n v="2"/>
    <n v="1"/>
    <n v="1"/>
    <n v="6"/>
    <n v="0"/>
    <n v="0"/>
    <n v="1"/>
    <n v="1"/>
    <s v="170.63"/>
    <s v="47.46"/>
    <n v="47.46"/>
    <s v="123.16999999999999"/>
    <n v="1"/>
    <n v="1"/>
    <n v="79"/>
  </r>
  <r>
    <s v="Row528_Row17_Row1_Row16_Row16_Row5_Row0_Row3"/>
    <n v="529"/>
    <s v="RES000529"/>
    <s v="Row37"/>
    <x v="0"/>
    <s v="Row37"/>
    <s v="Row37"/>
    <x v="3"/>
    <s v="Row0"/>
    <s v="Row4"/>
    <s v="1014.74"/>
    <n v="3"/>
    <n v="0"/>
    <n v="0"/>
    <n v="2"/>
    <n v="3"/>
    <n v="0"/>
    <n v="0"/>
    <n v="1"/>
    <n v="1"/>
    <s v="507.37"/>
    <s v="301.71"/>
    <n v="301.70999999999998"/>
    <s v="205.66000000000003"/>
    <n v="1"/>
    <n v="1"/>
    <n v="80"/>
  </r>
  <r>
    <s v="Row529_Row491_Row3_Row178_Row48_Row4_Row0_Row1"/>
    <n v="530"/>
    <s v="RES000530"/>
    <s v="Row1331"/>
    <x v="1"/>
    <s v="Row451"/>
    <s v="Row111"/>
    <x v="4"/>
    <s v="Row0"/>
    <s v="Row2"/>
    <s v="1524.99"/>
    <n v="1"/>
    <n v="0"/>
    <n v="0"/>
    <n v="3"/>
    <n v="1"/>
    <n v="0"/>
    <n v="0"/>
    <n v="1"/>
    <n v="1"/>
    <s v="508.33"/>
    <s v="195.94"/>
    <n v="195.94"/>
    <s v="312.39"/>
    <n v="1"/>
    <n v="1"/>
    <n v="81"/>
  </r>
  <r>
    <s v="Row530_Row199_Row2_Row164_Row2_Row3_Row0_Row4"/>
    <n v="531"/>
    <s v="RES000531"/>
    <s v="Row406"/>
    <x v="2"/>
    <s v="Row406"/>
    <s v="Row3"/>
    <x v="5"/>
    <s v="Row0"/>
    <s v="Row9"/>
    <s v="475.95"/>
    <n v="1"/>
    <n v="0"/>
    <n v="0"/>
    <n v="4"/>
    <n v="1"/>
    <n v="0"/>
    <n v="0"/>
    <n v="1"/>
    <n v="1"/>
    <s v="475.95"/>
    <s v="56.95"/>
    <n v="56.95"/>
    <n v="419"/>
    <n v="1"/>
    <n v="1"/>
    <n v="82"/>
  </r>
  <r>
    <s v="Row531_Row114_Row0_Row102_Row84_Row1_Row0_Row2"/>
    <n v="532"/>
    <s v="RES000532"/>
    <s v="Row218"/>
    <x v="3"/>
    <s v="Row218"/>
    <s v="Row218"/>
    <x v="6"/>
    <s v="Row0"/>
    <s v="Row3"/>
    <s v="1365.04"/>
    <n v="1"/>
    <n v="1"/>
    <n v="0"/>
    <n v="5"/>
    <n v="2"/>
    <n v="0"/>
    <n v="0"/>
    <n v="1"/>
    <n v="1"/>
    <s v="682.52"/>
    <s v="66.67"/>
    <n v="66.67"/>
    <s v="615.85"/>
    <n v="1"/>
    <n v="1"/>
    <n v="83"/>
  </r>
  <r>
    <s v="Row532_Row270_Row1_Row168_Row72_Row0_Row0_Row0"/>
    <n v="533"/>
    <s v="RES000533"/>
    <s v="Row584"/>
    <x v="0"/>
    <s v="Row417"/>
    <s v="Row172"/>
    <x v="0"/>
    <s v="Row0"/>
    <s v="Row0"/>
    <s v="2661.1499999999996"/>
    <n v="2"/>
    <n v="0"/>
    <n v="0"/>
    <n v="6"/>
    <n v="2"/>
    <n v="0"/>
    <n v="0"/>
    <n v="1"/>
    <n v="1"/>
    <s v="887.05"/>
    <s v="270.07"/>
    <n v="270.07"/>
    <s v="616.98"/>
    <n v="1"/>
    <n v="1"/>
    <n v="84"/>
  </r>
  <r>
    <s v="Row533_Row64_Row3_Row58_Row40_Row2_Row0_Row3"/>
    <n v="534"/>
    <s v="RES000534"/>
    <s v="Row131"/>
    <x v="1"/>
    <s v="Row131"/>
    <s v="Row94"/>
    <x v="1"/>
    <s v="Row0"/>
    <s v="Row4"/>
    <s v="170.63"/>
    <n v="2"/>
    <n v="2"/>
    <n v="0"/>
    <n v="1"/>
    <n v="4"/>
    <n v="0"/>
    <n v="0"/>
    <n v="1"/>
    <n v="1"/>
    <s v="170.63"/>
    <s v="61.02"/>
    <n v="61.02"/>
    <s v="109.60999999999999"/>
    <n v="1"/>
    <n v="1"/>
    <n v="85"/>
  </r>
  <r>
    <s v="Row534_Row255_Row2_Row187_Row27_Row6_Row0_Row1"/>
    <n v="535"/>
    <s v="RES000535"/>
    <s v="Row540"/>
    <x v="2"/>
    <s v="Row516"/>
    <s v="Row68"/>
    <x v="2"/>
    <s v="Row0"/>
    <s v="Row2"/>
    <s v="991.46"/>
    <n v="2"/>
    <n v="0"/>
    <n v="0"/>
    <n v="2"/>
    <n v="2"/>
    <n v="0"/>
    <n v="0"/>
    <n v="1"/>
    <n v="1"/>
    <s v="495.73"/>
    <s v="274.59"/>
    <n v="274.58999999999997"/>
    <s v="221.14000000000004"/>
    <n v="1"/>
    <n v="1"/>
    <n v="86"/>
  </r>
  <r>
    <s v="Row535_Row492_Row0_Row149_Row99_Row5_Row0_Row4"/>
    <n v="536"/>
    <s v="RES000536"/>
    <s v="Row1334"/>
    <x v="3"/>
    <s v="Row354"/>
    <s v="Row327"/>
    <x v="3"/>
    <s v="Row0"/>
    <s v="Row9"/>
    <s v="1777.38"/>
    <n v="3"/>
    <n v="1"/>
    <n v="0"/>
    <n v="3"/>
    <n v="4"/>
    <n v="0"/>
    <n v="0"/>
    <n v="1"/>
    <n v="1"/>
    <s v="592.46"/>
    <s v="222.95000000000002"/>
    <n v="222.95"/>
    <s v="369.51"/>
    <n v="1"/>
    <n v="1"/>
    <n v="87"/>
  </r>
  <r>
    <s v="Row536_Row206_Row1_Row143_Row29_Row4_Row0_Row2"/>
    <n v="537"/>
    <s v="RES000537"/>
    <s v="Row416"/>
    <x v="0"/>
    <s v="Row337"/>
    <s v="Row77"/>
    <x v="4"/>
    <s v="Row0"/>
    <s v="Row3"/>
    <s v="488.16"/>
    <n v="3"/>
    <n v="0"/>
    <n v="0"/>
    <n v="4"/>
    <n v="3"/>
    <n v="0"/>
    <n v="0"/>
    <n v="1"/>
    <n v="1"/>
    <s v="488.16"/>
    <s v="76.84"/>
    <n v="76.84"/>
    <s v="411.32000000000005"/>
    <n v="1"/>
    <n v="1"/>
    <n v="88"/>
  </r>
  <r>
    <s v="Row537_Row332_Row3_Row152_Row66_Row3_Row0_Row0"/>
    <n v="538"/>
    <s v="RES000538"/>
    <s v="Row743"/>
    <x v="1"/>
    <s v="Row363"/>
    <s v="Row154"/>
    <x v="5"/>
    <s v="Row0"/>
    <s v="Row0"/>
    <s v="1243.68"/>
    <n v="3"/>
    <n v="0"/>
    <n v="0"/>
    <n v="5"/>
    <n v="3"/>
    <n v="0"/>
    <n v="0"/>
    <n v="1"/>
    <n v="1"/>
    <s v="621.84"/>
    <s v="73.78999999999999"/>
    <n v="73.789999999999907"/>
    <s v="548.0500000000001"/>
    <n v="1"/>
    <n v="1"/>
    <n v="89"/>
  </r>
  <r>
    <s v="Row538_Row6_Row2_Row3_Row6_Row1_Row0_Row3"/>
    <n v="539"/>
    <s v="RES000539"/>
    <s v="Row12"/>
    <x v="2"/>
    <s v="Row4"/>
    <s v="Row12"/>
    <x v="6"/>
    <s v="Row0"/>
    <s v="Row4"/>
    <s v="2905.23"/>
    <n v="3"/>
    <n v="0"/>
    <n v="0"/>
    <n v="6"/>
    <n v="3"/>
    <n v="0"/>
    <n v="0"/>
    <n v="1"/>
    <n v="1"/>
    <s v="968.41"/>
    <s v="270.07"/>
    <n v="270.07"/>
    <s v="698.3399999999999"/>
    <n v="1"/>
    <n v="1"/>
    <n v="90"/>
  </r>
  <r>
    <s v="Row539_Row383_Row0_Row107_Row44_Row0_Row0_Row1"/>
    <n v="540"/>
    <s v="RES000540"/>
    <s v="Row905"/>
    <x v="3"/>
    <s v="Row230"/>
    <s v="Row101"/>
    <x v="0"/>
    <s v="Row0"/>
    <s v="Row2"/>
    <s v="152.15"/>
    <n v="1"/>
    <n v="2"/>
    <n v="1"/>
    <n v="1"/>
    <n v="4"/>
    <n v="0"/>
    <n v="0"/>
    <n v="1"/>
    <n v="1"/>
    <s v="152.15"/>
    <s v="47.46"/>
    <n v="47.46"/>
    <s v="104.69"/>
    <n v="1"/>
    <n v="1"/>
    <n v="1"/>
  </r>
  <r>
    <s v="Row540_Row507_Row1_Row250_Row139_Row2_Row2_Row5"/>
    <n v="541"/>
    <s v="RES000541"/>
    <s v="Row1361"/>
    <x v="0"/>
    <s v="Row1361"/>
    <s v="Row1361"/>
    <x v="1"/>
    <s v="Row1350"/>
    <s v="Row1350"/>
    <s v="0"/>
    <n v="1"/>
    <n v="0"/>
    <n v="0"/>
    <n v="2"/>
    <n v="1"/>
    <n v="1"/>
    <n v="0"/>
    <n v="0"/>
    <n v="0"/>
    <s v="205.66"/>
    <n v="0"/>
    <n v="0"/>
    <s v="205.66"/>
    <n v="1"/>
    <n v="0"/>
    <n v="2"/>
  </r>
  <r>
    <s v="Row541_Row575_Row3_Row294_Row138_Row6_Row2_Row5"/>
    <n v="542"/>
    <s v="RES000542"/>
    <s v="Row1441"/>
    <x v="1"/>
    <s v="Row1441"/>
    <s v="Row1360"/>
    <x v="2"/>
    <s v="Row1350"/>
    <s v="Row1350"/>
    <s v="0"/>
    <n v="1"/>
    <n v="0"/>
    <n v="0"/>
    <n v="3"/>
    <n v="1"/>
    <n v="1"/>
    <n v="0"/>
    <n v="0"/>
    <n v="0"/>
    <s v="328.83"/>
    <n v="0"/>
    <n v="0"/>
    <s v="328.83"/>
    <n v="1"/>
    <n v="0"/>
    <n v="3"/>
  </r>
  <r>
    <s v="Row542_Row550_Row2_Row266_Row156_Row5_Row2_Row5"/>
    <n v="543"/>
    <s v="RES000543"/>
    <s v="Row1408"/>
    <x v="2"/>
    <s v="Row1382"/>
    <s v="Row1408"/>
    <x v="3"/>
    <s v="Row1350"/>
    <s v="Row1350"/>
    <s v="0"/>
    <n v="2"/>
    <n v="0"/>
    <n v="0"/>
    <n v="4"/>
    <n v="2"/>
    <n v="1"/>
    <n v="0"/>
    <n v="0"/>
    <n v="0"/>
    <s v="465.56"/>
    <n v="0"/>
    <n v="0"/>
    <s v="465.56"/>
    <n v="1"/>
    <n v="0"/>
    <n v="4"/>
  </r>
  <r>
    <s v="Row543_Row606_Row0_Row291_Row134_Row4_Row3_Row5"/>
    <n v="544"/>
    <s v="RES000544"/>
    <s v="Row1495"/>
    <x v="3"/>
    <s v="Row1434"/>
    <s v="Row1356"/>
    <x v="4"/>
    <s v="Row1351"/>
    <s v="Row1350"/>
    <s v="0"/>
    <n v="2"/>
    <n v="1"/>
    <n v="0"/>
    <n v="5"/>
    <n v="3"/>
    <n v="0"/>
    <n v="1"/>
    <n v="0"/>
    <n v="0"/>
    <s v="615.85"/>
    <n v="0"/>
    <n v="0"/>
    <s v="615.85"/>
    <n v="1"/>
    <n v="0"/>
    <n v="5"/>
  </r>
  <r>
    <s v="Row544_Row74_Row1_Row66_Row62_Row3_Row1_Row2"/>
    <n v="545"/>
    <s v="RES000545"/>
    <s v="Row146"/>
    <x v="0"/>
    <s v="Row146"/>
    <s v="Row146"/>
    <x v="5"/>
    <s v="Row87"/>
    <s v="Row3"/>
    <s v="242.59"/>
    <n v="2"/>
    <n v="0"/>
    <n v="0"/>
    <n v="6"/>
    <n v="2"/>
    <n v="0"/>
    <n v="0"/>
    <n v="0"/>
    <n v="0"/>
    <s v="606.47"/>
    <s v="20.34"/>
    <n v="20.34"/>
    <s v="586.13"/>
    <n v="1"/>
    <n v="0"/>
    <n v="6"/>
  </r>
  <r>
    <s v="Row545_Row201_Row3_Row53_Row112_Row1_Row1_Row0"/>
    <n v="546"/>
    <s v="RES000546"/>
    <s v="Row408"/>
    <x v="1"/>
    <s v="Row122"/>
    <s v="Row390"/>
    <x v="6"/>
    <s v="Row87"/>
    <s v="Row0"/>
    <s v="68.25"/>
    <n v="3"/>
    <n v="2"/>
    <n v="0"/>
    <n v="1"/>
    <n v="5"/>
    <n v="0"/>
    <n v="0"/>
    <n v="0"/>
    <n v="0"/>
    <s v="170.63"/>
    <s v="61.02"/>
    <n v="61.02"/>
    <s v="109.60999999999999"/>
    <n v="1"/>
    <n v="0"/>
    <n v="7"/>
  </r>
  <r>
    <s v="Row546_Row460_Row2_Row99_Row91_Row0_Row0_Row0"/>
    <n v="547"/>
    <s v="RES000547"/>
    <s v="Row1202"/>
    <x v="2"/>
    <s v="Row210"/>
    <s v="Row255"/>
    <x v="0"/>
    <s v="Row0"/>
    <s v="Row0"/>
    <s v="1014.74"/>
    <n v="3"/>
    <n v="0"/>
    <n v="0"/>
    <n v="2"/>
    <n v="3"/>
    <n v="0"/>
    <n v="0"/>
    <n v="1"/>
    <n v="1"/>
    <s v="507.37"/>
    <s v="274.59"/>
    <n v="274.58999999999997"/>
    <s v="232.78000000000003"/>
    <n v="1"/>
    <n v="1"/>
    <n v="8"/>
  </r>
  <r>
    <s v="Row547_Row338_Row0_Row202_Row67_Row2_Row0_Row3"/>
    <n v="548"/>
    <s v="RES000548"/>
    <s v="Row768"/>
    <x v="3"/>
    <s v="Row576"/>
    <s v="Row156"/>
    <x v="1"/>
    <s v="Row0"/>
    <s v="Row4"/>
    <s v="1796.6999999999998"/>
    <n v="3"/>
    <n v="1"/>
    <n v="0"/>
    <n v="3"/>
    <n v="4"/>
    <n v="0"/>
    <n v="0"/>
    <n v="1"/>
    <n v="1"/>
    <s v="598.9"/>
    <s v="229.39000000000001"/>
    <n v="229.39"/>
    <s v="369.51"/>
    <n v="1"/>
    <n v="1"/>
    <n v="9"/>
  </r>
  <r>
    <s v="Row548_Row404_Row1_Row109_Row117_Row6_Row0_Row1"/>
    <n v="549"/>
    <s v="RES000549"/>
    <s v="Row974"/>
    <x v="0"/>
    <s v="Row232"/>
    <s v="Row492"/>
    <x v="2"/>
    <s v="Row0"/>
    <s v="Row2"/>
    <s v="447.03"/>
    <n v="3"/>
    <n v="0"/>
    <n v="0"/>
    <n v="4"/>
    <n v="3"/>
    <n v="0"/>
    <n v="0"/>
    <n v="1"/>
    <n v="1"/>
    <s v="447.03"/>
    <s v="76.84"/>
    <n v="76.84"/>
    <s v="370.18999999999994"/>
    <n v="1"/>
    <n v="1"/>
    <n v="10"/>
  </r>
  <r>
    <s v="Row549_Row291_Row3_Row75_Row4_Row5_Row0_Row4"/>
    <n v="550"/>
    <s v="RES000550"/>
    <s v="Row642"/>
    <x v="1"/>
    <s v="Row164"/>
    <s v="Row7"/>
    <x v="3"/>
    <s v="Row0"/>
    <s v="Row9"/>
    <s v="1201.76"/>
    <n v="1"/>
    <n v="0"/>
    <n v="0"/>
    <n v="5"/>
    <n v="1"/>
    <n v="0"/>
    <n v="0"/>
    <n v="1"/>
    <n v="1"/>
    <s v="600.88"/>
    <s v="80.22999999999999"/>
    <n v="80.229999999999905"/>
    <s v="520.65"/>
    <n v="1"/>
    <n v="1"/>
    <n v="11"/>
  </r>
  <r>
    <s v="Row550_Row113_Row2_Row101_Row49_Row4_Row0_Row2"/>
    <n v="551"/>
    <s v="RES000551"/>
    <s v="Row215"/>
    <x v="2"/>
    <s v="Row215"/>
    <s v="Row116"/>
    <x v="4"/>
    <s v="Row0"/>
    <s v="Row3"/>
    <s v="2890.98"/>
    <n v="1"/>
    <n v="0"/>
    <n v="0"/>
    <n v="6"/>
    <n v="1"/>
    <n v="0"/>
    <n v="0"/>
    <n v="1"/>
    <n v="1"/>
    <s v="963.66"/>
    <s v="265.32"/>
    <n v="265.32"/>
    <s v="698.3399999999999"/>
    <n v="1"/>
    <n v="1"/>
    <n v="12"/>
  </r>
  <r>
    <s v="Row551_Row411_Row0_Row171_Row120_Row3_Row0_Row0"/>
    <n v="552"/>
    <s v="RES000552"/>
    <s v="Row994"/>
    <x v="3"/>
    <s v="Row426"/>
    <s v="Row539"/>
    <x v="5"/>
    <s v="Row0"/>
    <s v="Row0"/>
    <s v="165.88"/>
    <n v="1"/>
    <n v="2"/>
    <n v="1"/>
    <n v="1"/>
    <n v="4"/>
    <n v="0"/>
    <n v="0"/>
    <n v="1"/>
    <n v="1"/>
    <s v="165.88"/>
    <s v="42.71"/>
    <n v="42.71"/>
    <s v="123.16999999999999"/>
    <n v="1"/>
    <n v="1"/>
    <n v="13"/>
  </r>
  <r>
    <s v="Row552_Row368_Row1_Row80_Row92_Row1_Row0_Row3"/>
    <n v="553"/>
    <s v="RES000553"/>
    <s v="Row869"/>
    <x v="0"/>
    <s v="Row172"/>
    <s v="Row259"/>
    <x v="6"/>
    <s v="Row0"/>
    <s v="Row4"/>
    <s v="1014.74"/>
    <n v="2"/>
    <n v="0"/>
    <n v="0"/>
    <n v="2"/>
    <n v="2"/>
    <n v="0"/>
    <n v="0"/>
    <n v="1"/>
    <n v="1"/>
    <s v="507.37"/>
    <s v="301.71"/>
    <n v="301.70999999999998"/>
    <s v="205.66000000000003"/>
    <n v="1"/>
    <n v="1"/>
    <n v="14"/>
  </r>
  <r>
    <s v="Row553_Row296_Row3_Row182_Row8_Row0_Row0_Row1"/>
    <n v="554"/>
    <s v="RES000554"/>
    <s v="Row653"/>
    <x v="1"/>
    <s v="Row489"/>
    <s v="Row18"/>
    <x v="0"/>
    <s v="Row0"/>
    <s v="Row2"/>
    <s v="1593.3000000000002"/>
    <n v="2"/>
    <n v="0"/>
    <n v="0"/>
    <n v="3"/>
    <n v="2"/>
    <n v="0"/>
    <n v="0"/>
    <n v="1"/>
    <n v="1"/>
    <s v="531.1"/>
    <s v="202.26999999999998"/>
    <n v="202.26999999999899"/>
    <s v="328.83000000000004"/>
    <n v="1"/>
    <n v="1"/>
    <n v="15"/>
  </r>
  <r>
    <s v="Row554_Row102_Row2_Row92_Row51_Row2_Row0_Row4"/>
    <n v="555"/>
    <s v="RES000555"/>
    <s v="Row196"/>
    <x v="2"/>
    <s v="Row196"/>
    <s v="Row121"/>
    <x v="1"/>
    <s v="Row0"/>
    <s v="Row9"/>
    <s v="459.01"/>
    <n v="2"/>
    <n v="0"/>
    <n v="0"/>
    <n v="4"/>
    <n v="2"/>
    <n v="0"/>
    <n v="0"/>
    <n v="1"/>
    <n v="1"/>
    <s v="459.01"/>
    <s v="63.28"/>
    <n v="63.28"/>
    <s v="395.73"/>
    <n v="1"/>
    <n v="1"/>
    <n v="16"/>
  </r>
  <r>
    <s v="Row555_Row16_Row0_Row15_Row15_Row6_Row0_Row2"/>
    <n v="556"/>
    <s v="RES000556"/>
    <s v="Row35"/>
    <x v="3"/>
    <s v="Row35"/>
    <s v="Row35"/>
    <x v="2"/>
    <s v="Row0"/>
    <s v="Row3"/>
    <s v="1365.04"/>
    <n v="3"/>
    <n v="1"/>
    <n v="0"/>
    <n v="5"/>
    <n v="4"/>
    <n v="0"/>
    <n v="0"/>
    <n v="1"/>
    <n v="1"/>
    <s v="682.52"/>
    <s v="66.67"/>
    <n v="66.67"/>
    <s v="615.85"/>
    <n v="1"/>
    <n v="1"/>
    <n v="17"/>
  </r>
  <r>
    <s v="Row556_Row343_Row1_Row219_Row110_Row5_Row0_Row0"/>
    <n v="557"/>
    <s v="RES000557"/>
    <s v="Row792"/>
    <x v="0"/>
    <s v="Row676"/>
    <s v="Row383"/>
    <x v="3"/>
    <s v="Row0"/>
    <s v="Row0"/>
    <s v="2605.23"/>
    <n v="3"/>
    <n v="0"/>
    <n v="0"/>
    <n v="6"/>
    <n v="3"/>
    <n v="0"/>
    <n v="0"/>
    <n v="1"/>
    <n v="1"/>
    <s v="868.41"/>
    <s v="251.43"/>
    <n v="251.43"/>
    <s v="616.98"/>
    <n v="1"/>
    <n v="1"/>
    <n v="18"/>
  </r>
  <r>
    <s v="Row557_Row382_Row3_Row79_Row115_Row4_Row0_Row3"/>
    <n v="558"/>
    <s v="RES000558"/>
    <s v="Row904"/>
    <x v="1"/>
    <s v="Row171"/>
    <s v="Row454"/>
    <x v="4"/>
    <s v="Row0"/>
    <s v="Row4"/>
    <s v="159.67"/>
    <n v="3"/>
    <n v="2"/>
    <n v="0"/>
    <n v="1"/>
    <n v="5"/>
    <n v="0"/>
    <n v="0"/>
    <n v="1"/>
    <n v="1"/>
    <s v="159.67"/>
    <s v="61.02"/>
    <n v="61.02"/>
    <s v="98.64999999999998"/>
    <n v="1"/>
    <n v="1"/>
    <n v="19"/>
  </r>
  <r>
    <s v="Row558_Row345_Row2_Row103_Row97_Row3_Row0_Row1"/>
    <n v="559"/>
    <s v="RES000559"/>
    <s v="Row800"/>
    <x v="2"/>
    <s v="Row223"/>
    <s v="Row296"/>
    <x v="5"/>
    <s v="Row0"/>
    <s v="Row2"/>
    <s v="977.46"/>
    <n v="3"/>
    <n v="0"/>
    <n v="0"/>
    <n v="2"/>
    <n v="3"/>
    <n v="0"/>
    <n v="0"/>
    <n v="1"/>
    <n v="1"/>
    <s v="488.73"/>
    <s v="255.95"/>
    <n v="255.95"/>
    <s v="232.78000000000003"/>
    <n v="1"/>
    <n v="1"/>
    <n v="20"/>
  </r>
  <r>
    <s v="Row559_Row459_Row0_Row190_Row45_Row1_Row0_Row4"/>
    <n v="560"/>
    <s v="RES000560"/>
    <s v="Row1199"/>
    <x v="3"/>
    <s v="Row527"/>
    <s v="Row103"/>
    <x v="6"/>
    <s v="Row0"/>
    <s v="Row9"/>
    <s v="1741.2599999999998"/>
    <n v="1"/>
    <n v="1"/>
    <n v="0"/>
    <n v="3"/>
    <n v="2"/>
    <n v="0"/>
    <n v="0"/>
    <n v="1"/>
    <n v="1"/>
    <s v="580.42"/>
    <s v="229.39000000000001"/>
    <n v="229.39"/>
    <s v="351.03"/>
    <n v="1"/>
    <n v="1"/>
    <n v="21"/>
  </r>
  <r>
    <s v="Row560_Row610_Row1_Row256_Row142_Row0_Row2_Row5"/>
    <n v="561"/>
    <s v="RES000561"/>
    <s v="Row1504"/>
    <x v="0"/>
    <s v="Row1368"/>
    <s v="Row1365"/>
    <x v="0"/>
    <s v="Row1350"/>
    <s v="Row1350"/>
    <s v="0"/>
    <n v="1"/>
    <n v="0"/>
    <n v="0"/>
    <n v="4"/>
    <n v="1"/>
    <n v="1"/>
    <n v="0"/>
    <n v="0"/>
    <n v="0"/>
    <s v="411.32"/>
    <n v="0"/>
    <n v="0"/>
    <s v="411.32"/>
    <n v="1"/>
    <n v="0"/>
    <n v="22"/>
  </r>
  <r>
    <s v="Row561_Row607_Row3_Row296_Row136_Row2_Row2_Row5"/>
    <n v="562"/>
    <s v="RES000562"/>
    <s v="Row1498"/>
    <x v="1"/>
    <s v="Row1444"/>
    <s v="Row1358"/>
    <x v="1"/>
    <s v="Row1350"/>
    <s v="Row1350"/>
    <s v="0"/>
    <n v="1"/>
    <n v="0"/>
    <n v="0"/>
    <n v="5"/>
    <n v="1"/>
    <n v="1"/>
    <n v="0"/>
    <n v="0"/>
    <n v="0"/>
    <s v="548.05"/>
    <n v="0"/>
    <n v="0"/>
    <s v="548.05"/>
    <n v="1"/>
    <n v="0"/>
    <n v="23"/>
  </r>
  <r>
    <s v="Row562_Row513_Row2_Row255_Row137_Row6_Row2_Row5"/>
    <n v="563"/>
    <s v="RES000563"/>
    <s v="Row1367"/>
    <x v="2"/>
    <s v="Row1367"/>
    <s v="Row1359"/>
    <x v="2"/>
    <s v="Row1350"/>
    <s v="Row1350"/>
    <s v="0"/>
    <n v="2"/>
    <n v="0"/>
    <n v="0"/>
    <n v="6"/>
    <n v="2"/>
    <n v="1"/>
    <n v="0"/>
    <n v="0"/>
    <n v="0"/>
    <s v="698.34"/>
    <n v="0"/>
    <n v="0"/>
    <s v="698.34"/>
    <n v="1"/>
    <n v="0"/>
    <n v="24"/>
  </r>
  <r>
    <s v="Row563_Row599_Row0_Row241_Row155_Row5_Row3_Row5"/>
    <n v="564"/>
    <s v="RES000564"/>
    <s v="Row1482"/>
    <x v="3"/>
    <s v="Row1351"/>
    <s v="Row1404"/>
    <x v="3"/>
    <s v="Row1351"/>
    <s v="Row1350"/>
    <s v="0"/>
    <n v="2"/>
    <n v="2"/>
    <n v="1"/>
    <n v="1"/>
    <n v="5"/>
    <n v="0"/>
    <n v="1"/>
    <n v="0"/>
    <n v="0"/>
    <s v="123.17"/>
    <n v="0"/>
    <n v="0"/>
    <s v="123.17"/>
    <n v="1"/>
    <n v="0"/>
    <n v="25"/>
  </r>
  <r>
    <s v="Row564_Row362_Row1_Row180_Row121_Row4_Row1_Row0"/>
    <n v="565"/>
    <s v="RES000565"/>
    <s v="Row861"/>
    <x v="0"/>
    <s v="Row462"/>
    <s v="Row547"/>
    <x v="4"/>
    <s v="Row87"/>
    <s v="Row0"/>
    <s v="160.87"/>
    <n v="2"/>
    <n v="0"/>
    <n v="0"/>
    <n v="2"/>
    <n v="2"/>
    <n v="0"/>
    <n v="0"/>
    <n v="0"/>
    <n v="0"/>
    <s v="402.17"/>
    <s v="206.79"/>
    <n v="206.79"/>
    <s v="195.38000000000002"/>
    <n v="1"/>
    <n v="0"/>
    <n v="26"/>
  </r>
  <r>
    <s v="Row565_Row363_Row3_Row36_Row52_Row3_Row1_Row3"/>
    <n v="566"/>
    <s v="RES000566"/>
    <s v="Row862"/>
    <x v="1"/>
    <s v="Row87"/>
    <s v="Row122"/>
    <x v="5"/>
    <s v="Row87"/>
    <s v="Row4"/>
    <s v="165.7"/>
    <n v="3"/>
    <n v="0"/>
    <n v="0"/>
    <n v="3"/>
    <n v="3"/>
    <n v="0"/>
    <n v="0"/>
    <n v="0"/>
    <n v="0"/>
    <s v="414.26"/>
    <s v="85.43"/>
    <n v="85.43"/>
    <s v="328.83"/>
    <n v="1"/>
    <n v="0"/>
    <n v="27"/>
  </r>
  <r>
    <s v="Row566_Row103_Row2_Row93_Row77_Row1_Row0_Row3"/>
    <n v="567"/>
    <s v="RES000567"/>
    <s v="Row197"/>
    <x v="2"/>
    <s v="Row197"/>
    <s v="Row197"/>
    <x v="6"/>
    <s v="Row0"/>
    <s v="Row4"/>
    <s v="482.28"/>
    <n v="3"/>
    <n v="0"/>
    <n v="0"/>
    <n v="4"/>
    <n v="3"/>
    <n v="0"/>
    <n v="0"/>
    <n v="1"/>
    <n v="1"/>
    <s v="482.28"/>
    <s v="63.28"/>
    <n v="63.28"/>
    <n v="419"/>
    <n v="1"/>
    <n v="1"/>
    <n v="28"/>
  </r>
  <r>
    <s v="Row567_Row485_Row0_Row113_Row109_Row0_Row0_Row1"/>
    <n v="568"/>
    <s v="RES000568"/>
    <s v="Row1301"/>
    <x v="3"/>
    <s v="Row244"/>
    <s v="Row375"/>
    <x v="0"/>
    <s v="Row0"/>
    <s v="Row2"/>
    <s v="1365.04"/>
    <n v="3"/>
    <n v="1"/>
    <n v="0"/>
    <n v="5"/>
    <n v="4"/>
    <n v="0"/>
    <n v="0"/>
    <n v="1"/>
    <n v="1"/>
    <s v="682.52"/>
    <s v="66.67"/>
    <n v="66.67"/>
    <s v="615.85"/>
    <n v="1"/>
    <n v="1"/>
    <n v="29"/>
  </r>
  <r>
    <s v="Row568_Row463_Row1_Row217_Row86_Row2_Row0_Row4"/>
    <n v="569"/>
    <s v="RES000569"/>
    <s v="Row1214"/>
    <x v="0"/>
    <s v="Row670"/>
    <s v="Row228"/>
    <x v="1"/>
    <s v="Row0"/>
    <s v="Row9"/>
    <s v="2661.1499999999996"/>
    <n v="3"/>
    <n v="0"/>
    <n v="0"/>
    <n v="6"/>
    <n v="3"/>
    <n v="0"/>
    <n v="0"/>
    <n v="1"/>
    <n v="1"/>
    <s v="887.05"/>
    <s v="270.07"/>
    <n v="270.07"/>
    <s v="616.98"/>
    <n v="1"/>
    <n v="1"/>
    <n v="30"/>
  </r>
  <r>
    <s v="Row569_Row489_Row3_Row138_Row90_Row6_Row0_Row2"/>
    <n v="570"/>
    <s v="RES000570"/>
    <s v="Row1325"/>
    <x v="1"/>
    <s v="Row328"/>
    <s v="Row254"/>
    <x v="2"/>
    <s v="Row0"/>
    <s v="Row3"/>
    <s v="154.19"/>
    <n v="1"/>
    <n v="2"/>
    <n v="0"/>
    <n v="1"/>
    <n v="3"/>
    <n v="0"/>
    <n v="0"/>
    <n v="1"/>
    <n v="1"/>
    <s v="154.19"/>
    <s v="61.02"/>
    <n v="61.02"/>
    <s v="93.16999999999999"/>
    <n v="1"/>
    <n v="1"/>
    <n v="31"/>
  </r>
  <r>
    <s v="Row570_Row476_Row2_Row13_Row39_Row5_Row0_Row0"/>
    <n v="571"/>
    <s v="RES000571"/>
    <s v="Row1260"/>
    <x v="2"/>
    <s v="Row32"/>
    <s v="Row92"/>
    <x v="3"/>
    <s v="Row0"/>
    <s v="Row0"/>
    <s v="1014.74"/>
    <n v="1"/>
    <n v="0"/>
    <n v="0"/>
    <n v="2"/>
    <n v="1"/>
    <n v="0"/>
    <n v="0"/>
    <n v="1"/>
    <n v="1"/>
    <s v="507.37"/>
    <s v="274.59"/>
    <n v="274.58999999999997"/>
    <s v="232.78000000000003"/>
    <n v="1"/>
    <n v="1"/>
    <n v="32"/>
  </r>
  <r>
    <s v="Row571_Row394_Row0_Row214_Row101_Row4_Row0_Row3"/>
    <n v="572"/>
    <s v="RES000572"/>
    <s v="Row930"/>
    <x v="3"/>
    <s v="Row646"/>
    <s v="Row336"/>
    <x v="4"/>
    <s v="Row0"/>
    <s v="Row4"/>
    <s v="1773.66"/>
    <n v="1"/>
    <n v="1"/>
    <n v="0"/>
    <n v="3"/>
    <n v="2"/>
    <n v="0"/>
    <n v="0"/>
    <n v="1"/>
    <n v="1"/>
    <s v="591.22"/>
    <s v="221.71"/>
    <n v="221.71"/>
    <s v="369.51"/>
    <n v="1"/>
    <n v="1"/>
    <n v="33"/>
  </r>
  <r>
    <s v="Row572_Row221_Row1_Row1_Row113_Row3_Row0_Row1"/>
    <n v="573"/>
    <s v="RES000573"/>
    <s v="Row455"/>
    <x v="0"/>
    <s v="Row2"/>
    <s v="Row420"/>
    <x v="5"/>
    <s v="Row0"/>
    <s v="Row2"/>
    <s v="480.48"/>
    <n v="2"/>
    <n v="0"/>
    <n v="0"/>
    <n v="4"/>
    <n v="2"/>
    <n v="0"/>
    <n v="0"/>
    <n v="1"/>
    <n v="1"/>
    <s v="480.48"/>
    <s v="69.16"/>
    <n v="69.16"/>
    <s v="411.32000000000005"/>
    <n v="1"/>
    <n v="1"/>
    <n v="34"/>
  </r>
  <r>
    <s v="Row573_Row264_Row3_Row7_Row102_Row1_Row0_Row4"/>
    <n v="574"/>
    <s v="RES000574"/>
    <s v="Row565"/>
    <x v="1"/>
    <s v="Row18"/>
    <s v="Row345"/>
    <x v="6"/>
    <s v="Row0"/>
    <s v="Row9"/>
    <s v="1256.56"/>
    <n v="2"/>
    <n v="0"/>
    <n v="0"/>
    <n v="5"/>
    <n v="2"/>
    <n v="0"/>
    <n v="0"/>
    <n v="1"/>
    <n v="1"/>
    <s v="628.28"/>
    <s v="80.22999999999999"/>
    <n v="80.229999999999905"/>
    <s v="548.05"/>
    <n v="1"/>
    <n v="1"/>
    <n v="35"/>
  </r>
  <r>
    <s v="Row574_Row360_Row2_Row230_Row85_Row0_Row0_Row2"/>
    <n v="575"/>
    <s v="RES000575"/>
    <s v="Row845"/>
    <x v="2"/>
    <s v="Row845"/>
    <s v="Row220"/>
    <x v="0"/>
    <s v="Row0"/>
    <s v="Row3"/>
    <s v="2800.4700000000003"/>
    <n v="2"/>
    <n v="0"/>
    <n v="0"/>
    <n v="6"/>
    <n v="2"/>
    <n v="0"/>
    <n v="0"/>
    <n v="1"/>
    <n v="1"/>
    <s v="933.49"/>
    <s v="270.07"/>
    <n v="270.07"/>
    <s v="663.4200000000001"/>
    <n v="1"/>
    <n v="1"/>
    <n v="36"/>
  </r>
  <r>
    <s v="Row575_Row11_Row0_Row10_Row10_Row2_Row0_Row0"/>
    <n v="576"/>
    <s v="RES000576"/>
    <s v="Row26"/>
    <x v="3"/>
    <s v="Row26"/>
    <s v="Row26"/>
    <x v="1"/>
    <s v="Row0"/>
    <s v="Row0"/>
    <s v="158.31"/>
    <n v="3"/>
    <n v="2"/>
    <n v="1"/>
    <n v="1"/>
    <n v="6"/>
    <n v="0"/>
    <n v="0"/>
    <n v="1"/>
    <n v="1"/>
    <s v="158.31"/>
    <s v="47.46"/>
    <n v="47.46"/>
    <s v="110.85"/>
    <n v="1"/>
    <n v="1"/>
    <n v="37"/>
  </r>
  <r>
    <s v="Row576_Row184_Row1_Row154_Row14_Row6_Row0_Row3"/>
    <n v="577"/>
    <s v="RES000577"/>
    <s v="Row370"/>
    <x v="0"/>
    <s v="Row370"/>
    <s v="Row34"/>
    <x v="2"/>
    <s v="Row0"/>
    <s v="Row4"/>
    <s v="1014.74"/>
    <n v="3"/>
    <n v="0"/>
    <n v="0"/>
    <n v="2"/>
    <n v="3"/>
    <n v="0"/>
    <n v="0"/>
    <n v="1"/>
    <n v="1"/>
    <s v="507.37"/>
    <s v="301.71"/>
    <n v="301.70999999999998"/>
    <s v="205.66000000000003"/>
    <n v="1"/>
    <n v="1"/>
    <n v="38"/>
  </r>
  <r>
    <s v="Row577_Row29_Row3_Row8_Row25_Row5_Row0_Row1"/>
    <n v="578"/>
    <s v="RES000578"/>
    <s v="Row62"/>
    <x v="1"/>
    <s v="Row20"/>
    <s v="Row62"/>
    <x v="3"/>
    <s v="Row0"/>
    <s v="Row2"/>
    <s v="1580.0700000000002"/>
    <n v="3"/>
    <n v="0"/>
    <n v="0"/>
    <n v="3"/>
    <n v="3"/>
    <n v="0"/>
    <n v="0"/>
    <n v="1"/>
    <n v="1"/>
    <s v="526.69"/>
    <s v="197.85999999999999"/>
    <n v="197.85999999999899"/>
    <s v="328.83000000000004"/>
    <n v="1"/>
    <n v="1"/>
    <n v="39"/>
  </r>
  <r>
    <s v="Row578_Row468_Row2_Row232_Row83_Row4_Row0_Row4"/>
    <n v="579"/>
    <s v="RES000579"/>
    <s v="Row1240"/>
    <x v="2"/>
    <s v="Row853"/>
    <s v="Row212"/>
    <x v="4"/>
    <s v="Row0"/>
    <s v="Row9"/>
    <s v="528.84"/>
    <n v="3"/>
    <n v="0"/>
    <n v="0"/>
    <n v="4"/>
    <n v="3"/>
    <n v="0"/>
    <n v="0"/>
    <n v="1"/>
    <n v="1"/>
    <s v="528.84"/>
    <s v="63.28"/>
    <n v="63.28"/>
    <s v="465.56000000000006"/>
    <n v="1"/>
    <n v="1"/>
    <n v="40"/>
  </r>
  <r>
    <s v="Row579_Row287_Row0_Row156_Row114_Row3_Row0_Row2"/>
    <n v="580"/>
    <s v="RES000580"/>
    <s v="Row636"/>
    <x v="3"/>
    <s v="Row373"/>
    <s v="Row444"/>
    <x v="5"/>
    <s v="Row0"/>
    <s v="Row3"/>
    <s v="1294.64"/>
    <n v="1"/>
    <n v="1"/>
    <n v="0"/>
    <n v="5"/>
    <n v="2"/>
    <n v="0"/>
    <n v="0"/>
    <n v="1"/>
    <n v="1"/>
    <s v="647.32"/>
    <s v="62.26"/>
    <n v="62.26"/>
    <s v="585.0600000000001"/>
    <n v="1"/>
    <n v="1"/>
    <n v="41"/>
  </r>
  <r>
    <s v="Row580_Row560_Row1_Row282_Row135_Row1_Row2_Row5"/>
    <n v="581"/>
    <s v="RES000581"/>
    <s v="Row1419"/>
    <x v="0"/>
    <s v="Row1412"/>
    <s v="Row1357"/>
    <x v="6"/>
    <s v="Row1350"/>
    <s v="Row1350"/>
    <s v="0"/>
    <n v="1"/>
    <n v="0"/>
    <n v="0"/>
    <n v="6"/>
    <n v="1"/>
    <n v="1"/>
    <n v="0"/>
    <n v="0"/>
    <n v="0"/>
    <s v="1037.34"/>
    <n v="0"/>
    <n v="0"/>
    <s v="1037.34"/>
    <n v="1"/>
    <n v="0"/>
    <n v="42"/>
  </r>
  <r>
    <s v="Row581_Row527_Row3_Row252_Row150_Row0_Row2_Row5"/>
    <n v="582"/>
    <s v="RES000582"/>
    <s v="Row1384"/>
    <x v="1"/>
    <s v="Row1363"/>
    <s v="Row1384"/>
    <x v="0"/>
    <s v="Row1350"/>
    <s v="Row1350"/>
    <s v="0"/>
    <n v="1"/>
    <n v="2"/>
    <n v="0"/>
    <n v="1"/>
    <n v="3"/>
    <n v="1"/>
    <n v="0"/>
    <n v="0"/>
    <n v="0"/>
    <s v="181.93"/>
    <n v="0"/>
    <n v="0"/>
    <s v="181.93"/>
    <n v="1"/>
    <n v="0"/>
    <n v="43"/>
  </r>
  <r>
    <s v="Row582_Row605_Row2_Row249_Row159_Row2_Row2_Row5"/>
    <n v="583"/>
    <s v="RES000583"/>
    <s v="Row1493"/>
    <x v="2"/>
    <s v="Row1359"/>
    <s v="Row1487"/>
    <x v="1"/>
    <s v="Row1350"/>
    <s v="Row1350"/>
    <s v="0"/>
    <n v="2"/>
    <n v="0"/>
    <n v="0"/>
    <n v="2"/>
    <n v="2"/>
    <n v="1"/>
    <n v="0"/>
    <n v="0"/>
    <n v="0"/>
    <s v="381.94"/>
    <n v="0"/>
    <n v="0"/>
    <s v="381.94"/>
    <n v="1"/>
    <n v="0"/>
    <n v="44"/>
  </r>
  <r>
    <s v="Row583_Row615_Row0_Row258_Row129_Row6_Row3_Row5"/>
    <n v="584"/>
    <s v="RES000584"/>
    <s v="Row1518"/>
    <x v="3"/>
    <s v="Row1370"/>
    <s v="Row1351"/>
    <x v="2"/>
    <s v="Row1351"/>
    <s v="Row1350"/>
    <s v="0"/>
    <n v="2"/>
    <n v="1"/>
    <n v="0"/>
    <n v="3"/>
    <n v="3"/>
    <n v="0"/>
    <n v="1"/>
    <n v="0"/>
    <n v="0"/>
    <s v="600.03"/>
    <n v="0"/>
    <n v="0"/>
    <s v="600.03"/>
    <n v="1"/>
    <n v="0"/>
    <n v="45"/>
  </r>
  <r>
    <s v="Row584_Row227_Row1_Row48_Row54_Row5_Row1_Row3"/>
    <n v="585"/>
    <s v="RES000585"/>
    <s v="Row473"/>
    <x v="0"/>
    <s v="Row110"/>
    <s v="Row127"/>
    <x v="3"/>
    <s v="Row87"/>
    <s v="Row4"/>
    <s v="265.87"/>
    <n v="2"/>
    <n v="0"/>
    <n v="0"/>
    <n v="4"/>
    <n v="2"/>
    <n v="0"/>
    <n v="0"/>
    <n v="0"/>
    <n v="0"/>
    <s v="664.67"/>
    <s v="76.84"/>
    <n v="76.84"/>
    <s v="587.8299999999999"/>
    <n v="1"/>
    <n v="0"/>
    <n v="46"/>
  </r>
  <r>
    <s v="Row585_Row393_Row3_Row189_Row35_Row4_Row1_Row1"/>
    <n v="586"/>
    <s v="RES000586"/>
    <s v="Row929"/>
    <x v="1"/>
    <s v="Row523"/>
    <s v="Row87"/>
    <x v="4"/>
    <s v="Row87"/>
    <s v="Row2"/>
    <s v="389.62"/>
    <n v="3"/>
    <n v="0"/>
    <n v="0"/>
    <n v="5"/>
    <n v="3"/>
    <n v="0"/>
    <n v="0"/>
    <n v="0"/>
    <n v="0"/>
    <s v="974.06"/>
    <s v="64.41"/>
    <n v="64.41"/>
    <s v="909.65"/>
    <n v="1"/>
    <n v="0"/>
    <n v="47"/>
  </r>
  <r>
    <s v="Row586_Row309_Row2_Row220_Row57_Row3_Row0_Row1"/>
    <n v="587"/>
    <s v="RES000587"/>
    <s v="Row682"/>
    <x v="2"/>
    <s v="Row682"/>
    <s v="Row139"/>
    <x v="5"/>
    <s v="Row0"/>
    <s v="Row2"/>
    <s v="4242.93"/>
    <n v="3"/>
    <n v="0"/>
    <n v="0"/>
    <n v="6"/>
    <n v="3"/>
    <n v="0"/>
    <n v="0"/>
    <n v="1"/>
    <n v="1"/>
    <s v="1414.31"/>
    <s v="268.49"/>
    <n v="268.49"/>
    <s v="1145.82"/>
    <n v="1"/>
    <n v="1"/>
    <n v="48"/>
  </r>
  <r>
    <s v="Row587_Row390_Row0_Row215_Row55_Row1_Row0_Row4"/>
    <n v="588"/>
    <s v="RES000588"/>
    <s v="Row924"/>
    <x v="3"/>
    <s v="Row667"/>
    <s v="Row132"/>
    <x v="6"/>
    <s v="Row0"/>
    <s v="Row9"/>
    <s v="247.47"/>
    <n v="3"/>
    <n v="2"/>
    <n v="1"/>
    <n v="1"/>
    <n v="6"/>
    <n v="0"/>
    <n v="0"/>
    <n v="1"/>
    <n v="1"/>
    <s v="247.47"/>
    <s v="47.46"/>
    <n v="47.46"/>
    <s v="200.01"/>
    <n v="1"/>
    <n v="1"/>
    <n v="49"/>
  </r>
  <r>
    <s v="Row588_Row101_Row1_Row90_Row76_Row0_Row0_Row2"/>
    <n v="589"/>
    <s v="RES000589"/>
    <s v="Row192"/>
    <x v="0"/>
    <s v="Row192"/>
    <s v="Row192"/>
    <x v="0"/>
    <s v="Row0"/>
    <s v="Row3"/>
    <s v="1294.98"/>
    <n v="3"/>
    <n v="0"/>
    <n v="0"/>
    <n v="2"/>
    <n v="3"/>
    <n v="0"/>
    <n v="0"/>
    <n v="1"/>
    <n v="1"/>
    <s v="647.49"/>
    <s v="301.71"/>
    <n v="301.70999999999998"/>
    <s v="345.78000000000003"/>
    <n v="1"/>
    <n v="1"/>
    <n v="50"/>
  </r>
  <r>
    <s v="Row589_Row466_Row3_Row238_Row61_Row2_Row0_Row0"/>
    <n v="590"/>
    <s v="RES000590"/>
    <s v="Row1228"/>
    <x v="1"/>
    <s v="Row918"/>
    <s v="Row145"/>
    <x v="1"/>
    <s v="Row0"/>
    <s v="Row0"/>
    <s v="2162.31"/>
    <n v="1"/>
    <n v="0"/>
    <n v="0"/>
    <n v="3"/>
    <n v="1"/>
    <n v="0"/>
    <n v="0"/>
    <n v="1"/>
    <n v="1"/>
    <s v="720.77"/>
    <s v="202.26999999999998"/>
    <n v="202.26999999999899"/>
    <s v="518.5"/>
    <n v="1"/>
    <n v="1"/>
    <n v="51"/>
  </r>
  <r>
    <s v="Row590_Row444_Row2_Row200_Row13_Row6_Row0_Row3"/>
    <n v="591"/>
    <s v="RES000591"/>
    <s v="Row1126"/>
    <x v="2"/>
    <s v="Row571"/>
    <s v="Row32"/>
    <x v="2"/>
    <s v="Row0"/>
    <s v="Row4"/>
    <s v="827.16"/>
    <n v="1"/>
    <n v="0"/>
    <n v="0"/>
    <n v="4"/>
    <n v="1"/>
    <n v="0"/>
    <n v="0"/>
    <n v="1"/>
    <n v="1"/>
    <s v="827.16"/>
    <s v="63.28"/>
    <n v="63.28"/>
    <s v="763.88"/>
    <n v="1"/>
    <n v="1"/>
    <n v="52"/>
  </r>
  <r>
    <s v="Row591_Row366_Row0_Row11_Row126_Row5_Row0_Row1"/>
    <n v="592"/>
    <s v="RES000592"/>
    <s v="Row866"/>
    <x v="3"/>
    <s v="Row27"/>
    <s v="Row646"/>
    <x v="3"/>
    <s v="Row0"/>
    <s v="Row2"/>
    <s v="2133.44"/>
    <n v="1"/>
    <n v="1"/>
    <n v="0"/>
    <n v="5"/>
    <n v="2"/>
    <n v="0"/>
    <n v="0"/>
    <n v="1"/>
    <n v="1"/>
    <s v="1066.72"/>
    <s v="66.67"/>
    <n v="66.67"/>
    <s v="1000.0500000000001"/>
    <n v="1"/>
    <n v="1"/>
    <n v="53"/>
  </r>
  <r>
    <s v="Row592_Row153_Row1_Row130_Row1_Row4_Row0_Row4"/>
    <n v="593"/>
    <s v="RES000593"/>
    <s v="Row306"/>
    <x v="0"/>
    <s v="Row306"/>
    <s v="Row2"/>
    <x v="4"/>
    <s v="Row0"/>
    <s v="Row9"/>
    <s v="3903.93"/>
    <n v="2"/>
    <n v="0"/>
    <n v="0"/>
    <n v="6"/>
    <n v="2"/>
    <n v="0"/>
    <n v="0"/>
    <n v="1"/>
    <n v="1"/>
    <s v="1301.31"/>
    <s v="263.97"/>
    <n v="263.97000000000003"/>
    <s v="1037.34"/>
    <n v="1"/>
    <n v="1"/>
    <n v="54"/>
  </r>
  <r>
    <s v="Row593_Row481_Row3_Row76_Row118_Row3_Row0_Row2"/>
    <n v="594"/>
    <s v="RES000594"/>
    <s v="Row1285"/>
    <x v="1"/>
    <s v="Row166"/>
    <s v="Row495"/>
    <x v="5"/>
    <s v="Row0"/>
    <s v="Row3"/>
    <s v="218.66"/>
    <n v="2"/>
    <n v="2"/>
    <n v="0"/>
    <n v="1"/>
    <n v="4"/>
    <n v="0"/>
    <n v="0"/>
    <n v="1"/>
    <n v="1"/>
    <s v="218.66"/>
    <s v="54.92"/>
    <n v="54.92"/>
    <s v="163.74"/>
    <n v="1"/>
    <n v="1"/>
    <n v="55"/>
  </r>
  <r>
    <s v="Row594_Row334_Row2_Row224_Row75_Row1_Row0_Row0"/>
    <n v="595"/>
    <s v="RES000595"/>
    <s v="Row746"/>
    <x v="2"/>
    <s v="Row746"/>
    <s v="Row184"/>
    <x v="6"/>
    <s v="Row0"/>
    <s v="Row0"/>
    <s v="1274.86"/>
    <n v="2"/>
    <n v="0"/>
    <n v="0"/>
    <n v="2"/>
    <n v="2"/>
    <n v="0"/>
    <n v="0"/>
    <n v="1"/>
    <n v="1"/>
    <s v="637.43"/>
    <s v="274.59"/>
    <n v="274.58999999999997"/>
    <s v="362.84"/>
    <n v="1"/>
    <n v="1"/>
    <n v="56"/>
  </r>
  <r>
    <s v="Row595_Row52_Row0_Row47_Row46_Row0_Row0_Row3"/>
    <n v="596"/>
    <s v="RES000596"/>
    <s v="Row107"/>
    <x v="3"/>
    <s v="Row107"/>
    <s v="Row107"/>
    <x v="0"/>
    <s v="Row0"/>
    <s v="Row4"/>
    <s v="2488.2599999999998"/>
    <n v="3"/>
    <n v="1"/>
    <n v="0"/>
    <n v="3"/>
    <n v="4"/>
    <n v="0"/>
    <n v="0"/>
    <n v="1"/>
    <n v="1"/>
    <s v="829.42"/>
    <s v="229.39000000000001"/>
    <n v="229.39"/>
    <s v="600.03"/>
    <n v="1"/>
    <n v="1"/>
    <n v="57"/>
  </r>
  <r>
    <s v="Row596_Row337_Row1_Row166_Row127_Row2_Row0_Row1"/>
    <n v="597"/>
    <s v="RES000597"/>
    <s v="Row765"/>
    <x v="0"/>
    <s v="Row410"/>
    <s v="Row673"/>
    <x v="1"/>
    <s v="Row0"/>
    <s v="Row2"/>
    <s v="768.4"/>
    <n v="3"/>
    <n v="0"/>
    <n v="0"/>
    <n v="4"/>
    <n v="3"/>
    <n v="0"/>
    <n v="0"/>
    <n v="1"/>
    <n v="1"/>
    <s v="768.4"/>
    <s v="76.84"/>
    <n v="76.84"/>
    <s v="691.56"/>
    <n v="1"/>
    <n v="1"/>
    <n v="58"/>
  </r>
  <r>
    <s v="Row597_Row385_Row3_Row140_Row7_Row6_Row0_Row4"/>
    <n v="598"/>
    <s v="RES000598"/>
    <s v="Row908"/>
    <x v="1"/>
    <s v="Row330"/>
    <s v="Row15"/>
    <x v="2"/>
    <s v="Row0"/>
    <s v="Row9"/>
    <s v="1979.76"/>
    <n v="3"/>
    <n v="0"/>
    <n v="0"/>
    <n v="5"/>
    <n v="3"/>
    <n v="0"/>
    <n v="0"/>
    <n v="1"/>
    <n v="1"/>
    <s v="989.88"/>
    <s v="80.22999999999999"/>
    <n v="80.229999999999905"/>
    <s v="909.65"/>
    <n v="1"/>
    <n v="1"/>
    <n v="59"/>
  </r>
  <r>
    <s v="Row598_Row314_Row2_Row135_Row119_Row5_Row0_Row2"/>
    <n v="599"/>
    <s v="RES000599"/>
    <s v="Row696"/>
    <x v="2"/>
    <s v="Row321"/>
    <s v="Row519"/>
    <x v="3"/>
    <s v="Row0"/>
    <s v="Row3"/>
    <s v="4185.63"/>
    <n v="3"/>
    <n v="0"/>
    <n v="0"/>
    <n v="6"/>
    <n v="3"/>
    <n v="0"/>
    <n v="0"/>
    <n v="1"/>
    <n v="1"/>
    <s v="1395.21"/>
    <s v="249.39000000000001"/>
    <n v="249.39"/>
    <s v="1145.82"/>
    <n v="1"/>
    <n v="1"/>
    <n v="60"/>
  </r>
  <r>
    <s v="Row599_Row442_Row0_Row226_Row24_Row4_Row0_Row0"/>
    <n v="600"/>
    <s v="RES000600"/>
    <s v="Row1120"/>
    <x v="3"/>
    <s v="Row809"/>
    <s v="Row61"/>
    <x v="4"/>
    <s v="Row0"/>
    <s v="Row0"/>
    <s v="217.47"/>
    <n v="1"/>
    <n v="2"/>
    <n v="1"/>
    <n v="1"/>
    <n v="4"/>
    <n v="0"/>
    <n v="0"/>
    <n v="1"/>
    <n v="1"/>
    <s v="217.47"/>
    <s v="47.46"/>
    <n v="47.46"/>
    <s v="170.01"/>
    <n v="1"/>
    <n v="1"/>
    <n v="61"/>
  </r>
  <r>
    <s v="Row600_Row498_Row1_Row242_Row130_Row3_Row2_Row5"/>
    <n v="601"/>
    <s v="RES000601"/>
    <s v="Row1352"/>
    <x v="0"/>
    <s v="Row1352"/>
    <s v="Row1352"/>
    <x v="5"/>
    <s v="Row1350"/>
    <s v="Row1350"/>
    <s v="0"/>
    <n v="1"/>
    <n v="0"/>
    <n v="0"/>
    <n v="2"/>
    <n v="1"/>
    <n v="1"/>
    <n v="0"/>
    <n v="0"/>
    <n v="0"/>
    <s v="345.78"/>
    <n v="0"/>
    <n v="0"/>
    <s v="345.78"/>
    <n v="1"/>
    <n v="0"/>
    <n v="62"/>
  </r>
  <r>
    <s v="Row601_Row616_Row3_Row269_Row145_Row1_Row2_Row5"/>
    <n v="602"/>
    <s v="RES000602"/>
    <s v="Row1519"/>
    <x v="1"/>
    <s v="Row1388"/>
    <s v="Row1371"/>
    <x v="6"/>
    <s v="Row1350"/>
    <s v="Row1350"/>
    <s v="0"/>
    <n v="1"/>
    <n v="0"/>
    <n v="0"/>
    <n v="3"/>
    <n v="1"/>
    <n v="1"/>
    <n v="0"/>
    <n v="0"/>
    <n v="0"/>
    <s v="545.79"/>
    <n v="0"/>
    <n v="0"/>
    <s v="545.79"/>
    <n v="1"/>
    <n v="0"/>
    <n v="63"/>
  </r>
  <r>
    <s v="Row602_Row566_Row2_Row281_Row148_Row0_Row2_Row5"/>
    <n v="603"/>
    <s v="RES000603"/>
    <s v="Row1427"/>
    <x v="2"/>
    <s v="Row1407"/>
    <s v="Row1374"/>
    <x v="0"/>
    <s v="Row1350"/>
    <s v="Row1350"/>
    <s v="0"/>
    <n v="2"/>
    <n v="0"/>
    <n v="0"/>
    <n v="4"/>
    <n v="2"/>
    <n v="1"/>
    <n v="0"/>
    <n v="0"/>
    <n v="0"/>
    <s v="687.49"/>
    <n v="0"/>
    <n v="0"/>
    <s v="687.49"/>
    <n v="1"/>
    <n v="0"/>
    <n v="64"/>
  </r>
  <r>
    <s v="Row603_Row584_Row0_Row275_Row144_Row2_Row3_Row5"/>
    <n v="604"/>
    <s v="RES000604"/>
    <s v="Row1454"/>
    <x v="3"/>
    <s v="Row1398"/>
    <s v="Row1370"/>
    <x v="1"/>
    <s v="Row1351"/>
    <s v="Row1350"/>
    <s v="0"/>
    <n v="2"/>
    <n v="1"/>
    <n v="0"/>
    <n v="5"/>
    <n v="3"/>
    <n v="0"/>
    <n v="1"/>
    <n v="0"/>
    <n v="0"/>
    <s v="1000.05"/>
    <n v="0"/>
    <n v="0"/>
    <s v="1000.05"/>
    <n v="1"/>
    <n v="0"/>
    <n v="65"/>
  </r>
  <r>
    <s v="Row604_Row420_Row1_Row42_Row47_Row6_Row1_Row1"/>
    <n v="605"/>
    <s v="RES000605"/>
    <s v="Row1018"/>
    <x v="0"/>
    <s v="Row95"/>
    <s v="Row110"/>
    <x v="2"/>
    <s v="Row87"/>
    <s v="Row2"/>
    <s v="403.23"/>
    <n v="2"/>
    <n v="0"/>
    <n v="0"/>
    <n v="6"/>
    <n v="2"/>
    <n v="0"/>
    <n v="0"/>
    <n v="0"/>
    <n v="0"/>
    <s v="1008.07"/>
    <s v="22.6"/>
    <n v="22.6"/>
    <s v="985.47"/>
    <n v="1"/>
    <n v="0"/>
    <n v="66"/>
  </r>
  <r>
    <s v="Row605_Row276_Row3_Row188_Row95_Row5_Row1_Row4"/>
    <n v="606"/>
    <s v="RES000606"/>
    <s v="Row595"/>
    <x v="1"/>
    <s v="Row522"/>
    <s v="Row280"/>
    <x v="3"/>
    <s v="Row87"/>
    <s v="Row9"/>
    <s v="97.18"/>
    <n v="3"/>
    <n v="2"/>
    <n v="0"/>
    <n v="1"/>
    <n v="5"/>
    <n v="0"/>
    <n v="0"/>
    <n v="0"/>
    <n v="0"/>
    <s v="242.95"/>
    <s v="61.02"/>
    <n v="61.02"/>
    <s v="181.92999999999998"/>
    <n v="1"/>
    <n v="0"/>
    <n v="67"/>
  </r>
  <r>
    <s v="Row606_Row87_Row2_Row38_Row71_Row4_Row0_Row4"/>
    <n v="607"/>
    <s v="RES000607"/>
    <s v="Row168"/>
    <x v="2"/>
    <s v="Row89"/>
    <s v="Row168"/>
    <x v="4"/>
    <s v="Row0"/>
    <s v="Row9"/>
    <s v="1295.44"/>
    <n v="3"/>
    <n v="0"/>
    <n v="0"/>
    <n v="2"/>
    <n v="3"/>
    <n v="0"/>
    <n v="0"/>
    <n v="1"/>
    <n v="1"/>
    <s v="647.72"/>
    <s v="265.78"/>
    <n v="265.77999999999997"/>
    <s v="381.94000000000005"/>
    <n v="1"/>
    <n v="1"/>
    <n v="68"/>
  </r>
  <r>
    <s v="Row607_Row140_Row0_Row122_Row53_Row3_Row0_Row2"/>
    <n v="608"/>
    <s v="RES000608"/>
    <s v="Row269"/>
    <x v="3"/>
    <s v="Row269"/>
    <s v="Row123"/>
    <x v="5"/>
    <s v="Row0"/>
    <s v="Row3"/>
    <s v="2461.83"/>
    <n v="3"/>
    <n v="1"/>
    <n v="0"/>
    <n v="3"/>
    <n v="4"/>
    <n v="0"/>
    <n v="0"/>
    <n v="1"/>
    <n v="1"/>
    <s v="820.61"/>
    <s v="220.58"/>
    <n v="220.58"/>
    <s v="600.03"/>
    <n v="1"/>
    <n v="1"/>
    <n v="69"/>
  </r>
  <r>
    <s v="Row608_Row213_Row1_Row175_Row34_Row1_Row0_Row0"/>
    <n v="609"/>
    <s v="RES000609"/>
    <s v="Row435"/>
    <x v="0"/>
    <s v="Row435"/>
    <s v="Row85"/>
    <x v="6"/>
    <s v="Row0"/>
    <s v="Row0"/>
    <s v="768.4"/>
    <n v="3"/>
    <n v="0"/>
    <n v="0"/>
    <n v="4"/>
    <n v="3"/>
    <n v="0"/>
    <n v="0"/>
    <n v="1"/>
    <n v="1"/>
    <s v="768.4"/>
    <s v="76.84"/>
    <n v="76.84"/>
    <s v="691.56"/>
    <n v="1"/>
    <n v="1"/>
    <n v="70"/>
  </r>
  <r>
    <s v="Row609_Row467_Row3_Row43_Row12_Row0_Row0_Row3"/>
    <n v="610"/>
    <s v="RES000610"/>
    <s v="Row1234"/>
    <x v="1"/>
    <s v="Row96"/>
    <s v="Row29"/>
    <x v="0"/>
    <s v="Row0"/>
    <s v="Row4"/>
    <s v="1888.8"/>
    <n v="1"/>
    <n v="0"/>
    <n v="0"/>
    <n v="5"/>
    <n v="1"/>
    <n v="0"/>
    <n v="0"/>
    <n v="1"/>
    <n v="1"/>
    <s v="944.4"/>
    <s v="80.22999999999999"/>
    <n v="80.229999999999905"/>
    <s v="864.17"/>
    <n v="1"/>
    <n v="1"/>
    <n v="71"/>
  </r>
  <r>
    <s v="Row610_Row223_Row2_Row179_Row116_Row2_Row0_Row1"/>
    <n v="611"/>
    <s v="RES000611"/>
    <s v="Row459"/>
    <x v="2"/>
    <s v="Row459"/>
    <s v="Row459"/>
    <x v="1"/>
    <s v="Row0"/>
    <s v="Row2"/>
    <s v="4247.67"/>
    <n v="1"/>
    <n v="0"/>
    <n v="0"/>
    <n v="6"/>
    <n v="1"/>
    <n v="0"/>
    <n v="0"/>
    <n v="1"/>
    <n v="1"/>
    <s v="1415.89"/>
    <s v="270.07"/>
    <n v="270.07"/>
    <s v="1145.8200000000002"/>
    <n v="1"/>
    <n v="1"/>
    <n v="72"/>
  </r>
  <r>
    <s v="Row611_Row408_Row0_Row120_Row11_Row6_Row0_Row4"/>
    <n v="612"/>
    <s v="RES000612"/>
    <s v="Row987"/>
    <x v="3"/>
    <s v="Row260"/>
    <s v="Row27"/>
    <x v="2"/>
    <s v="Row0"/>
    <s v="Row9"/>
    <s v="227.47"/>
    <n v="1"/>
    <n v="2"/>
    <n v="1"/>
    <n v="1"/>
    <n v="4"/>
    <n v="0"/>
    <n v="0"/>
    <n v="1"/>
    <n v="1"/>
    <s v="227.47"/>
    <s v="47.46"/>
    <n v="47.46"/>
    <s v="180.01"/>
    <n v="1"/>
    <n v="1"/>
    <n v="73"/>
  </r>
  <r>
    <s v="Row612_Row462_Row1_Row49_Row59_Row5_Row0_Row2"/>
    <n v="613"/>
    <s v="RES000613"/>
    <s v="Row1209"/>
    <x v="0"/>
    <s v="Row114"/>
    <s v="Row141"/>
    <x v="3"/>
    <s v="Row0"/>
    <s v="Row3"/>
    <s v="1294.98"/>
    <n v="2"/>
    <n v="0"/>
    <n v="0"/>
    <n v="2"/>
    <n v="2"/>
    <n v="0"/>
    <n v="0"/>
    <n v="1"/>
    <n v="1"/>
    <s v="647.49"/>
    <s v="301.71"/>
    <n v="301.70999999999998"/>
    <s v="345.78000000000003"/>
    <n v="1"/>
    <n v="1"/>
    <n v="74"/>
  </r>
  <r>
    <s v="Row613_Row285_Row3_Row210_Row69_Row4_Row0_Row0"/>
    <n v="614"/>
    <s v="RES000614"/>
    <s v="Row618"/>
    <x v="1"/>
    <s v="Row618"/>
    <s v="Row166"/>
    <x v="4"/>
    <s v="Row0"/>
    <s v="Row0"/>
    <s v="2225.19"/>
    <n v="2"/>
    <n v="0"/>
    <n v="0"/>
    <n v="3"/>
    <n v="2"/>
    <n v="0"/>
    <n v="0"/>
    <n v="1"/>
    <n v="1"/>
    <s v="741.73"/>
    <s v="195.94"/>
    <n v="195.94"/>
    <s v="545.79"/>
    <n v="1"/>
    <n v="1"/>
    <n v="75"/>
  </r>
  <r>
    <s v="Row614_Row465_Row2_Row37_Row19_Row3_Row0_Row3"/>
    <n v="615"/>
    <s v="RES000615"/>
    <s v="Row1220"/>
    <x v="2"/>
    <s v="Row88"/>
    <s v="Row45"/>
    <x v="5"/>
    <s v="Row0"/>
    <s v="Row4"/>
    <s v="706.25"/>
    <n v="2"/>
    <n v="0"/>
    <n v="0"/>
    <n v="4"/>
    <n v="2"/>
    <n v="0"/>
    <n v="0"/>
    <n v="1"/>
    <n v="1"/>
    <s v="706.25"/>
    <s v="56.95"/>
    <n v="56.95"/>
    <s v="649.3"/>
    <n v="1"/>
    <n v="1"/>
    <n v="76"/>
  </r>
  <r>
    <s v="Row615_Row474_Row0_Row239_Row88_Row1_Row0_Row1"/>
    <n v="616"/>
    <s v="RES000616"/>
    <s v="Row1256"/>
    <x v="3"/>
    <s v="Row959"/>
    <s v="Row234"/>
    <x v="6"/>
    <s v="Row0"/>
    <s v="Row2"/>
    <s v="2133.44"/>
    <n v="3"/>
    <n v="1"/>
    <n v="0"/>
    <n v="5"/>
    <n v="4"/>
    <n v="0"/>
    <n v="0"/>
    <n v="1"/>
    <n v="1"/>
    <s v="1066.72"/>
    <s v="66.67"/>
    <n v="66.67"/>
    <s v="1000.0500000000001"/>
    <n v="1"/>
    <n v="1"/>
    <n v="77"/>
  </r>
  <r>
    <s v="Row616_Row410_Row1_Row124_Row58_Row0_Row0_Row4"/>
    <n v="617"/>
    <s v="RES000617"/>
    <s v="Row990"/>
    <x v="0"/>
    <s v="Row274"/>
    <s v="Row140"/>
    <x v="0"/>
    <s v="Row0"/>
    <s v="Row9"/>
    <s v="3922.2300000000005"/>
    <n v="3"/>
    <n v="0"/>
    <n v="0"/>
    <n v="6"/>
    <n v="3"/>
    <n v="0"/>
    <n v="0"/>
    <n v="1"/>
    <n v="1"/>
    <s v="1307.41"/>
    <s v="270.07"/>
    <n v="270.07"/>
    <s v="1037.3400000000001"/>
    <n v="1"/>
    <n v="1"/>
    <n v="78"/>
  </r>
  <r>
    <s v="Row617_Row278_Row3_Row67_Row81_Row2_Row0_Row2"/>
    <n v="618"/>
    <s v="RES000618"/>
    <s v="Row599"/>
    <x v="1"/>
    <s v="Row147"/>
    <s v="Row206"/>
    <x v="1"/>
    <s v="Row0"/>
    <s v="Row3"/>
    <s v="242.95"/>
    <n v="3"/>
    <n v="2"/>
    <n v="0"/>
    <n v="1"/>
    <n v="5"/>
    <n v="0"/>
    <n v="0"/>
    <n v="1"/>
    <n v="1"/>
    <s v="242.95"/>
    <s v="61.02"/>
    <n v="61.02"/>
    <s v="181.92999999999998"/>
    <n v="1"/>
    <n v="1"/>
    <n v="79"/>
  </r>
  <r>
    <s v="Row618_Row448_Row2_Row32_Row124_Row6_Row0_Row0"/>
    <n v="619"/>
    <s v="RES000619"/>
    <s v="Row1148"/>
    <x v="2"/>
    <s v="Row78"/>
    <s v="Row587"/>
    <x v="2"/>
    <s v="Row0"/>
    <s v="Row0"/>
    <s v="1313.06"/>
    <n v="3"/>
    <n v="0"/>
    <n v="0"/>
    <n v="2"/>
    <n v="3"/>
    <n v="0"/>
    <n v="0"/>
    <n v="1"/>
    <n v="1"/>
    <s v="656.53"/>
    <s v="274.59"/>
    <n v="274.58999999999997"/>
    <s v="381.94"/>
    <n v="1"/>
    <n v="1"/>
    <n v="80"/>
  </r>
  <r>
    <s v="Row619_Row375_Row0_Row85_Row106_Row5_Row0_Row3"/>
    <n v="620"/>
    <s v="RES000620"/>
    <s v="Row889"/>
    <x v="3"/>
    <s v="Row181"/>
    <s v="Row361"/>
    <x v="3"/>
    <s v="Row0"/>
    <s v="Row4"/>
    <s v="2378.94"/>
    <n v="1"/>
    <n v="1"/>
    <n v="0"/>
    <n v="3"/>
    <n v="2"/>
    <n v="0"/>
    <n v="0"/>
    <n v="1"/>
    <n v="1"/>
    <s v="792.98"/>
    <s v="222.95000000000002"/>
    <n v="222.95"/>
    <s v="570.03"/>
    <n v="1"/>
    <n v="1"/>
    <n v="81"/>
  </r>
  <r>
    <s v="Row620_Row595_Row1_Row262_Row154_Row4_Row2_Row5"/>
    <n v="621"/>
    <s v="RES000621"/>
    <s v="Row1475"/>
    <x v="0"/>
    <s v="Row1376"/>
    <s v="Row1394"/>
    <x v="4"/>
    <s v="Row1350"/>
    <s v="Row1350"/>
    <s v="0"/>
    <n v="1"/>
    <n v="0"/>
    <n v="0"/>
    <n v="4"/>
    <n v="1"/>
    <n v="1"/>
    <n v="0"/>
    <n v="0"/>
    <n v="0"/>
    <s v="772.92"/>
    <n v="0"/>
    <n v="0"/>
    <s v="772.92"/>
    <n v="1"/>
    <n v="0"/>
    <n v="82"/>
  </r>
  <r>
    <s v="Row621_Row531_Row3_Row295_Row143_Row3_Row2_Row5"/>
    <n v="622"/>
    <s v="RES000622"/>
    <s v="Row1388"/>
    <x v="1"/>
    <s v="Row1442"/>
    <s v="Row1366"/>
    <x v="5"/>
    <s v="Row1350"/>
    <s v="Row1350"/>
    <s v="0"/>
    <n v="1"/>
    <n v="0"/>
    <n v="0"/>
    <n v="5"/>
    <n v="1"/>
    <n v="1"/>
    <n v="0"/>
    <n v="0"/>
    <n v="0"/>
    <n v="1130"/>
    <n v="0"/>
    <n v="0"/>
    <n v="1130"/>
    <n v="1"/>
    <n v="0"/>
    <n v="83"/>
  </r>
  <r>
    <s v="Row622_Row581_Row2_Row297_Row149_Row1_Row2_Row5"/>
    <n v="623"/>
    <s v="RES000623"/>
    <s v="Row1451"/>
    <x v="2"/>
    <s v="Row1451"/>
    <s v="Row1379"/>
    <x v="6"/>
    <s v="Row1350"/>
    <s v="Row1350"/>
    <s v="0"/>
    <n v="2"/>
    <n v="0"/>
    <n v="0"/>
    <n v="6"/>
    <n v="2"/>
    <n v="1"/>
    <n v="0"/>
    <n v="0"/>
    <n v="0"/>
    <s v="1423.8"/>
    <n v="0"/>
    <n v="0"/>
    <s v="1423.8"/>
    <n v="1"/>
    <n v="0"/>
    <n v="84"/>
  </r>
  <r>
    <s v="Row623_Row533_Row0_Row263_Row153_Row0_Row3_Row5"/>
    <n v="624"/>
    <s v="RES000624"/>
    <s v="Row1390"/>
    <x v="3"/>
    <s v="Row1377"/>
    <s v="Row1390"/>
    <x v="0"/>
    <s v="Row1351"/>
    <s v="Row1350"/>
    <s v="0"/>
    <n v="2"/>
    <n v="2"/>
    <n v="1"/>
    <n v="1"/>
    <n v="5"/>
    <n v="0"/>
    <n v="1"/>
    <n v="0"/>
    <n v="0"/>
    <s v="248.6"/>
    <n v="0"/>
    <n v="0"/>
    <s v="248.6"/>
    <n v="1"/>
    <n v="0"/>
    <n v="85"/>
  </r>
  <r>
    <s v="Row624_Row197_Row1_Row235_Row41_Row2_Row1_Row4"/>
    <n v="625"/>
    <s v="RES000625"/>
    <s v="Row402"/>
    <x v="0"/>
    <s v="Row897"/>
    <s v="Row95"/>
    <x v="1"/>
    <s v="Row87"/>
    <s v="Row9"/>
    <s v="245.89"/>
    <n v="2"/>
    <n v="0"/>
    <n v="0"/>
    <n v="2"/>
    <n v="2"/>
    <n v="0"/>
    <n v="0"/>
    <n v="0"/>
    <n v="0"/>
    <s v="614.72"/>
    <s v="206.79"/>
    <n v="206.79"/>
    <s v="407.93000000000006"/>
    <n v="1"/>
    <n v="0"/>
    <n v="86"/>
  </r>
  <r>
    <s v="Row625_Row178_Row3_Row148_Row104_Row6_Row1_Row2"/>
    <n v="626"/>
    <s v="RES000626"/>
    <s v="Row353"/>
    <x v="1"/>
    <s v="Row353"/>
    <s v="Row353"/>
    <x v="2"/>
    <s v="Row87"/>
    <s v="Row3"/>
    <s v="309.17"/>
    <n v="3"/>
    <n v="0"/>
    <n v="0"/>
    <n v="3"/>
    <n v="3"/>
    <n v="0"/>
    <n v="0"/>
    <n v="0"/>
    <n v="0"/>
    <s v="772.92"/>
    <s v="94.92"/>
    <n v="94.92"/>
    <n v="678"/>
    <n v="1"/>
    <n v="0"/>
    <n v="87"/>
  </r>
  <r>
    <s v="Row626_Row244_Row2_Row69_Row37_Row5_Row0_Row2"/>
    <n v="627"/>
    <s v="RES000627"/>
    <s v="Row518"/>
    <x v="2"/>
    <s v="Row149"/>
    <s v="Row89"/>
    <x v="3"/>
    <s v="Row0"/>
    <s v="Row3"/>
    <s v="1012.48"/>
    <n v="3"/>
    <n v="0"/>
    <n v="0"/>
    <n v="4"/>
    <n v="3"/>
    <n v="0"/>
    <n v="0"/>
    <n v="1"/>
    <n v="1"/>
    <s v="1012.48"/>
    <s v="63.28"/>
    <n v="63.28"/>
    <s v="949.2"/>
    <n v="1"/>
    <n v="1"/>
    <n v="88"/>
  </r>
  <r>
    <s v="Row627_Row226_Row0_Row158_Row125_Row4_Row0_Row0"/>
    <n v="628"/>
    <s v="RES000628"/>
    <s v="Row470"/>
    <x v="3"/>
    <s v="Row381"/>
    <s v="Row596"/>
    <x v="4"/>
    <s v="Row0"/>
    <s v="Row0"/>
    <s v="2614.82"/>
    <n v="3"/>
    <n v="1"/>
    <n v="0"/>
    <n v="5"/>
    <n v="4"/>
    <n v="0"/>
    <n v="0"/>
    <n v="1"/>
    <n v="1"/>
    <s v="1307.41"/>
    <s v="64.41"/>
    <n v="64.41"/>
    <n v="1243"/>
    <n v="1"/>
    <n v="1"/>
    <n v="89"/>
  </r>
  <r>
    <s v="Row628_Row147_Row1_Row94_Row93_Row3_Row0_Row3"/>
    <n v="629"/>
    <s v="RES000629"/>
    <s v="Row289"/>
    <x v="0"/>
    <s v="Row198"/>
    <s v="Row265"/>
    <x v="5"/>
    <s v="Row0"/>
    <s v="Row4"/>
    <s v="4668.03"/>
    <n v="3"/>
    <n v="0"/>
    <n v="0"/>
    <n v="6"/>
    <n v="3"/>
    <n v="0"/>
    <n v="0"/>
    <n v="1"/>
    <n v="1"/>
    <s v="1556.01"/>
    <s v="267.81"/>
    <n v="267.81"/>
    <s v="1288.2"/>
    <n v="1"/>
    <n v="1"/>
    <n v="90"/>
  </r>
  <r>
    <s v="Row629_Row47_Row3_Row108_Row105_Row1_Row0_Row1"/>
    <n v="630"/>
    <s v="RES000630"/>
    <s v="Row96"/>
    <x v="1"/>
    <s v="Row231"/>
    <s v="Row358"/>
    <x v="6"/>
    <s v="Row0"/>
    <s v="Row2"/>
    <s v="253.12"/>
    <n v="1"/>
    <n v="2"/>
    <n v="0"/>
    <n v="1"/>
    <n v="3"/>
    <n v="0"/>
    <n v="0"/>
    <n v="1"/>
    <n v="1"/>
    <s v="253.12"/>
    <s v="61.02"/>
    <n v="61.02"/>
    <s v="192.1"/>
    <n v="1"/>
    <n v="1"/>
    <n v="1"/>
  </r>
  <r>
    <s v="Row630_Row318_Row2_Row172_Row18_Row0_Row0_Row4"/>
    <n v="631"/>
    <s v="RES000631"/>
    <s v="Row710"/>
    <x v="2"/>
    <s v="Row427"/>
    <s v="Row42"/>
    <x v="0"/>
    <s v="Row0"/>
    <s v="Row9"/>
    <s v="1498.38"/>
    <n v="1"/>
    <n v="0"/>
    <n v="0"/>
    <n v="2"/>
    <n v="1"/>
    <n v="0"/>
    <n v="0"/>
    <n v="1"/>
    <n v="1"/>
    <s v="749.19"/>
    <s v="274.59"/>
    <n v="274.58999999999997"/>
    <s v="474.6000000000001"/>
    <n v="1"/>
    <n v="1"/>
    <n v="2"/>
  </r>
  <r>
    <s v="Row631_Row26_Row0_Row24_Row22_Row2_Row0_Row2"/>
    <n v="632"/>
    <s v="RES000632"/>
    <s v="Row56"/>
    <x v="3"/>
    <s v="Row56"/>
    <s v="Row56"/>
    <x v="1"/>
    <s v="Row0"/>
    <s v="Row3"/>
    <s v="2925.57"/>
    <n v="1"/>
    <n v="1"/>
    <n v="0"/>
    <n v="3"/>
    <n v="2"/>
    <n v="0"/>
    <n v="0"/>
    <n v="1"/>
    <n v="1"/>
    <s v="975.19"/>
    <s v="229.39000000000001"/>
    <n v="229.39"/>
    <s v="745.8000000000001"/>
    <n v="1"/>
    <n v="1"/>
    <n v="3"/>
  </r>
  <r>
    <s v="Row632_Row55_Row1_Row199_Row80_Row6_Row0_Row0"/>
    <n v="633"/>
    <s v="RES000633"/>
    <s v="Row114"/>
    <x v="0"/>
    <s v="Row568"/>
    <s v="Row204"/>
    <x v="2"/>
    <s v="Row0"/>
    <s v="Row0"/>
    <s v="935.64"/>
    <n v="2"/>
    <n v="0"/>
    <n v="0"/>
    <n v="4"/>
    <n v="2"/>
    <n v="0"/>
    <n v="0"/>
    <n v="1"/>
    <n v="1"/>
    <s v="935.64"/>
    <s v="76.84"/>
    <n v="76.84"/>
    <s v="858.8"/>
    <n v="1"/>
    <n v="1"/>
    <n v="4"/>
  </r>
  <r>
    <s v="Row633_Row192_Row3_Row114_Row28_Row5_Row0_Row3"/>
    <n v="634"/>
    <s v="RES000634"/>
    <s v="Row385"/>
    <x v="1"/>
    <s v="Row247"/>
    <s v="Row74"/>
    <x v="3"/>
    <s v="Row0"/>
    <s v="Row4"/>
    <s v="2420.46"/>
    <n v="2"/>
    <n v="0"/>
    <n v="0"/>
    <n v="5"/>
    <n v="2"/>
    <n v="0"/>
    <n v="0"/>
    <n v="1"/>
    <n v="1"/>
    <s v="1210.23"/>
    <s v="80.22999999999999"/>
    <n v="80.229999999999905"/>
    <n v="1130"/>
    <n v="1"/>
    <n v="1"/>
    <n v="5"/>
  </r>
  <r>
    <s v="Row634_Row371_Row2_Row44_Row36_Row4_Row0_Row1"/>
    <n v="635"/>
    <s v="RES000635"/>
    <s v="Row876"/>
    <x v="2"/>
    <s v="Row98"/>
    <s v="Row88"/>
    <x v="4"/>
    <s v="Row0"/>
    <s v="Row2"/>
    <s v="4853.79"/>
    <n v="2"/>
    <n v="0"/>
    <n v="0"/>
    <n v="6"/>
    <n v="2"/>
    <n v="0"/>
    <n v="0"/>
    <n v="1"/>
    <n v="1"/>
    <s v="1617.93"/>
    <s v="265.32"/>
    <n v="265.32"/>
    <s v="1352.6100000000001"/>
    <n v="1"/>
    <n v="1"/>
    <n v="6"/>
  </r>
  <r>
    <s v="Row635_Row436_Row0_Row201_Row96_Row3_Row0_Row4"/>
    <n v="636"/>
    <s v="RES000636"/>
    <s v="Row1093"/>
    <x v="3"/>
    <s v="Row575"/>
    <s v="Row285"/>
    <x v="5"/>
    <s v="Row0"/>
    <s v="Row9"/>
    <s v="291.31"/>
    <n v="3"/>
    <n v="2"/>
    <n v="1"/>
    <n v="1"/>
    <n v="6"/>
    <n v="0"/>
    <n v="0"/>
    <n v="1"/>
    <n v="1"/>
    <s v="291.31"/>
    <s v="42.71"/>
    <n v="42.71"/>
    <s v="248.6"/>
    <n v="1"/>
    <n v="1"/>
    <n v="7"/>
  </r>
  <r>
    <s v="Row636_Row67_Row1_Row60_Row56_Row1_Row0_Row2"/>
    <n v="637"/>
    <s v="RES000637"/>
    <s v="Row137"/>
    <x v="0"/>
    <s v="Row137"/>
    <s v="Row137"/>
    <x v="6"/>
    <s v="Row0"/>
    <s v="Row3"/>
    <s v="1462.22"/>
    <n v="3"/>
    <n v="0"/>
    <n v="0"/>
    <n v="2"/>
    <n v="3"/>
    <n v="0"/>
    <n v="0"/>
    <n v="1"/>
    <n v="1"/>
    <s v="731.11"/>
    <s v="301.71"/>
    <n v="301.70999999999998"/>
    <s v="429.40000000000003"/>
    <n v="1"/>
    <n v="1"/>
    <n v="8"/>
  </r>
  <r>
    <s v="Row637_Row18_Row3_Row17_Row17_Row0_Row0_Row0"/>
    <n v="638"/>
    <s v="RES000638"/>
    <s v="Row39"/>
    <x v="1"/>
    <s v="Row39"/>
    <s v="Row39"/>
    <x v="0"/>
    <s v="Row0"/>
    <s v="Row0"/>
    <s v="2640.81"/>
    <n v="3"/>
    <n v="0"/>
    <n v="0"/>
    <n v="3"/>
    <n v="3"/>
    <n v="0"/>
    <n v="0"/>
    <n v="1"/>
    <n v="1"/>
    <s v="880.27"/>
    <s v="202.26999999999998"/>
    <n v="202.26999999999899"/>
    <n v="678"/>
    <n v="1"/>
    <n v="1"/>
    <n v="9"/>
  </r>
  <r>
    <s v="Row638_Row35_Row2_Row110_Row73_Row2_Row0_Row3"/>
    <n v="639"/>
    <s v="RES000639"/>
    <s v="Row78"/>
    <x v="2"/>
    <s v="Row237"/>
    <s v="Row175"/>
    <x v="1"/>
    <s v="Row0"/>
    <s v="Row4"/>
    <s v="917.56"/>
    <n v="3"/>
    <n v="0"/>
    <n v="0"/>
    <n v="4"/>
    <n v="3"/>
    <n v="0"/>
    <n v="0"/>
    <n v="1"/>
    <n v="1"/>
    <s v="917.56"/>
    <s v="63.28"/>
    <n v="63.28"/>
    <s v="854.28"/>
    <n v="1"/>
    <n v="1"/>
    <n v="10"/>
  </r>
  <r>
    <s v="Row639_Row330_Row0_Row218_Row31_Row6_Row0_Row1"/>
    <n v="640"/>
    <s v="RES000640"/>
    <s v="Row737"/>
    <x v="3"/>
    <s v="Row674"/>
    <s v="Row80"/>
    <x v="2"/>
    <s v="Row0"/>
    <s v="Row2"/>
    <s v="2495.04"/>
    <n v="1"/>
    <n v="1"/>
    <n v="0"/>
    <n v="5"/>
    <n v="2"/>
    <n v="0"/>
    <n v="0"/>
    <n v="1"/>
    <n v="1"/>
    <s v="1247.52"/>
    <s v="66.67"/>
    <n v="66.67"/>
    <s v="1180.85"/>
    <n v="1"/>
    <n v="1"/>
    <n v="11"/>
  </r>
  <r>
    <s v="Row640_Row552_Row1_Row299_Row133_Row5_Row2_Row5"/>
    <n v="641"/>
    <s v="RES000641"/>
    <s v="Row1410"/>
    <x v="0"/>
    <s v="Row1453"/>
    <s v="Row1355"/>
    <x v="3"/>
    <s v="Row1350"/>
    <s v="Row1350"/>
    <s v="0"/>
    <n v="1"/>
    <n v="0"/>
    <n v="0"/>
    <n v="6"/>
    <n v="1"/>
    <n v="1"/>
    <n v="0"/>
    <n v="0"/>
    <n v="0"/>
    <s v="406.8"/>
    <n v="0"/>
    <n v="0"/>
    <s v="406.8"/>
    <n v="1"/>
    <n v="0"/>
    <n v="12"/>
  </r>
  <r>
    <s v="Row641_Row548_Row3_Row280_Row132_Row4_Row2_Row5"/>
    <n v="642"/>
    <s v="RES000642"/>
    <s v="Row1406"/>
    <x v="1"/>
    <s v="Row1406"/>
    <s v="Row1354"/>
    <x v="4"/>
    <s v="Row1350"/>
    <s v="Row1350"/>
    <s v="0"/>
    <n v="1"/>
    <n v="2"/>
    <n v="0"/>
    <n v="1"/>
    <n v="3"/>
    <n v="1"/>
    <n v="0"/>
    <n v="0"/>
    <n v="0"/>
    <s v="73.45"/>
    <n v="0"/>
    <n v="0"/>
    <s v="73.45"/>
    <n v="1"/>
    <n v="0"/>
    <n v="13"/>
  </r>
  <r>
    <s v="Row642_Row561_Row2_Row270_Row151_Row3_Row2_Row5"/>
    <n v="643"/>
    <s v="RES000643"/>
    <s v="Row1422"/>
    <x v="2"/>
    <s v="Row1389"/>
    <s v="Row1386"/>
    <x v="5"/>
    <s v="Row1350"/>
    <s v="Row1350"/>
    <s v="0"/>
    <n v="2"/>
    <n v="0"/>
    <n v="0"/>
    <n v="2"/>
    <n v="2"/>
    <n v="1"/>
    <n v="0"/>
    <n v="0"/>
    <n v="0"/>
    <s v="158.2"/>
    <n v="0"/>
    <n v="0"/>
    <s v="158.2"/>
    <n v="1"/>
    <n v="0"/>
    <n v="14"/>
  </r>
  <r>
    <s v="Row643_Row518_Row0_Row260_Row147_Row1_Row3_Row5"/>
    <n v="644"/>
    <s v="RES000644"/>
    <s v="Row1373"/>
    <x v="3"/>
    <s v="Row1373"/>
    <s v="Row1373"/>
    <x v="6"/>
    <s v="Row1351"/>
    <s v="Row1350"/>
    <s v="0"/>
    <n v="2"/>
    <n v="1"/>
    <n v="0"/>
    <n v="3"/>
    <n v="3"/>
    <n v="0"/>
    <n v="1"/>
    <n v="0"/>
    <n v="0"/>
    <s v="254.25"/>
    <n v="0"/>
    <n v="0"/>
    <s v="254.25"/>
    <n v="1"/>
    <n v="0"/>
    <n v="15"/>
  </r>
  <r>
    <s v="Row644_Row86_Row1_Row77_Row70_Row0_Row1_Row2"/>
    <n v="645"/>
    <s v="RES000645"/>
    <s v="Row167"/>
    <x v="0"/>
    <s v="Row167"/>
    <s v="Row167"/>
    <x v="0"/>
    <s v="Row87"/>
    <s v="Row3"/>
    <s v="122.94"/>
    <n v="2"/>
    <n v="0"/>
    <n v="0"/>
    <n v="4"/>
    <n v="2"/>
    <n v="0"/>
    <n v="0"/>
    <n v="0"/>
    <n v="0"/>
    <s v="307.36"/>
    <s v="76.84"/>
    <n v="76.84"/>
    <s v="230.52"/>
    <n v="1"/>
    <n v="0"/>
    <n v="16"/>
  </r>
  <r>
    <s v="Row645_Row94_Row3_Row83_Row74_Row2_Row1_Row0"/>
    <n v="646"/>
    <s v="RES000646"/>
    <s v="Row178"/>
    <x v="1"/>
    <s v="Row178"/>
    <s v="Row178"/>
    <x v="1"/>
    <s v="Row87"/>
    <s v="Row0"/>
    <s v="172.66"/>
    <n v="3"/>
    <n v="0"/>
    <n v="0"/>
    <n v="5"/>
    <n v="3"/>
    <n v="0"/>
    <n v="0"/>
    <n v="0"/>
    <n v="0"/>
    <s v="431.66"/>
    <s v="64.41"/>
    <n v="64.41"/>
    <s v="367.25"/>
    <n v="1"/>
    <n v="0"/>
    <n v="17"/>
  </r>
  <r>
    <s v="Row646_Row76_Row2_Row129_Row50_Row6_Row0_Row0"/>
    <n v="647"/>
    <s v="RES000647"/>
    <s v="Row149"/>
    <x v="2"/>
    <s v="Row301"/>
    <s v="Row118"/>
    <x v="2"/>
    <s v="Row0"/>
    <s v="Row0"/>
    <s v="2234.0099999999998"/>
    <n v="3"/>
    <n v="0"/>
    <n v="0"/>
    <n v="6"/>
    <n v="3"/>
    <n v="0"/>
    <n v="0"/>
    <n v="1"/>
    <n v="1"/>
    <s v="744.67"/>
    <s v="270.07"/>
    <n v="270.07"/>
    <s v="474.59999999999997"/>
    <n v="1"/>
    <n v="1"/>
    <n v="18"/>
  </r>
  <r>
    <s v="Row647_Row470_Row0_Row161_Row94_Row5_Row0_Row3"/>
    <n v="648"/>
    <s v="RES000648"/>
    <s v="Row1249"/>
    <x v="3"/>
    <s v="Row392"/>
    <s v="Row277"/>
    <x v="3"/>
    <s v="Row0"/>
    <s v="Row4"/>
    <s v="123.74"/>
    <n v="3"/>
    <n v="2"/>
    <n v="1"/>
    <n v="1"/>
    <n v="6"/>
    <n v="0"/>
    <n v="0"/>
    <n v="1"/>
    <n v="1"/>
    <s v="123.74"/>
    <s v="47.46"/>
    <n v="47.46"/>
    <s v="76.28"/>
    <n v="1"/>
    <n v="1"/>
    <n v="19"/>
  </r>
  <r>
    <s v="Row648_Row315_Row1_Row212_Row78_Row4_Row0_Row1"/>
    <n v="649"/>
    <s v="RES000649"/>
    <s v="Row702"/>
    <x v="0"/>
    <s v="Row631"/>
    <s v="Row198"/>
    <x v="4"/>
    <s v="Row0"/>
    <s v="Row2"/>
    <s v="855.64"/>
    <n v="3"/>
    <n v="0"/>
    <n v="0"/>
    <n v="2"/>
    <n v="3"/>
    <n v="0"/>
    <n v="0"/>
    <n v="1"/>
    <n v="1"/>
    <s v="427.82"/>
    <s v="292.22"/>
    <n v="292.22000000000003"/>
    <s v="135.59999999999997"/>
    <n v="1"/>
    <n v="1"/>
    <n v="20"/>
  </r>
  <r>
    <s v="Row649_Row120_Row3_Row5_Row42_Row3_Row0_Row4"/>
    <n v="650"/>
    <s v="RES000650"/>
    <s v="Row231"/>
    <x v="1"/>
    <s v="Row9"/>
    <s v="Row96"/>
    <x v="5"/>
    <s v="Row0"/>
    <s v="Row9"/>
    <s v="1206.33"/>
    <n v="1"/>
    <n v="0"/>
    <n v="0"/>
    <n v="3"/>
    <n v="1"/>
    <n v="0"/>
    <n v="0"/>
    <n v="1"/>
    <n v="1"/>
    <s v="402.11"/>
    <s v="192.78"/>
    <n v="192.78"/>
    <s v="209.33"/>
    <n v="1"/>
    <n v="1"/>
    <n v="21"/>
  </r>
  <r>
    <s v="Row650_Row211_Row2_Row2_Row65_Row1_Row0_Row2"/>
    <n v="651"/>
    <s v="RES000651"/>
    <s v="Row427"/>
    <x v="2"/>
    <s v="Row3"/>
    <s v="Row150"/>
    <x v="6"/>
    <s v="Row0"/>
    <s v="Row3"/>
    <s v="379.68"/>
    <n v="1"/>
    <n v="0"/>
    <n v="0"/>
    <n v="4"/>
    <n v="1"/>
    <n v="0"/>
    <n v="0"/>
    <n v="1"/>
    <n v="1"/>
    <s v="379.68"/>
    <s v="63.28"/>
    <n v="63.28"/>
    <s v="316.4"/>
    <n v="1"/>
    <n v="1"/>
    <n v="22"/>
  </r>
  <r>
    <s v="Row651_Row0_Row0_Row0_Row0_Row0_Row0_Row0"/>
    <n v="652"/>
    <s v="RES000652"/>
    <s v="Row0"/>
    <x v="3"/>
    <s v="Row0"/>
    <s v="Row0"/>
    <x v="0"/>
    <s v="Row0"/>
    <s v="Row0"/>
    <s v="980.84"/>
    <n v="1"/>
    <n v="1"/>
    <n v="0"/>
    <n v="5"/>
    <n v="2"/>
    <n v="0"/>
    <n v="0"/>
    <n v="1"/>
    <n v="1"/>
    <s v="490.42"/>
    <s v="66.67"/>
    <n v="66.67"/>
    <s v="423.75"/>
    <n v="1"/>
    <n v="1"/>
    <n v="23"/>
  </r>
  <r>
    <s v="Row652_Row402_Row1_Row197_Row20_Row2_Row0_Row3"/>
    <n v="653"/>
    <s v="RES000653"/>
    <s v="Row972"/>
    <x v="0"/>
    <s v="Row559"/>
    <s v="Row48"/>
    <x v="1"/>
    <s v="Row0"/>
    <s v="Row4"/>
    <s v="2030.6100000000001"/>
    <n v="2"/>
    <n v="0"/>
    <n v="0"/>
    <n v="6"/>
    <n v="2"/>
    <n v="0"/>
    <n v="0"/>
    <n v="1"/>
    <n v="1"/>
    <s v="676.87"/>
    <s v="270.07"/>
    <n v="270.07"/>
    <s v="406.8"/>
    <n v="1"/>
    <n v="1"/>
    <n v="24"/>
  </r>
  <r>
    <s v="Row653_Row127_Row3_Row41_Row68_Row6_Row0_Row1"/>
    <n v="654"/>
    <s v="RES000654"/>
    <s v="Row247"/>
    <x v="1"/>
    <s v="Row94"/>
    <s v="Row162"/>
    <x v="2"/>
    <s v="Row0"/>
    <s v="Row2"/>
    <s v="134.47"/>
    <n v="2"/>
    <n v="2"/>
    <n v="0"/>
    <n v="1"/>
    <n v="4"/>
    <n v="0"/>
    <n v="0"/>
    <n v="1"/>
    <n v="1"/>
    <s v="134.47"/>
    <s v="61.02"/>
    <n v="61.02"/>
    <s v="73.44999999999999"/>
    <n v="1"/>
    <n v="1"/>
    <n v="25"/>
  </r>
  <r>
    <s v="Row654_Row48_Row2_Row59_Row26_Row5_Row0_Row4"/>
    <n v="655"/>
    <s v="RES000655"/>
    <s v="Row98"/>
    <x v="2"/>
    <s v="Row135"/>
    <s v="Row65"/>
    <x v="3"/>
    <s v="Row0"/>
    <s v="Row9"/>
    <s v="849.76"/>
    <n v="2"/>
    <n v="0"/>
    <n v="0"/>
    <n v="2"/>
    <n v="2"/>
    <n v="0"/>
    <n v="0"/>
    <n v="1"/>
    <n v="1"/>
    <s v="424.88"/>
    <s v="274.59"/>
    <n v="274.58999999999997"/>
    <s v="150.29000000000002"/>
    <n v="1"/>
    <n v="1"/>
    <n v="26"/>
  </r>
  <r>
    <s v="Row655_Row268_Row0_Row223_Row9_Row4_Row0_Row2"/>
    <n v="656"/>
    <s v="RES000656"/>
    <s v="Row575"/>
    <x v="3"/>
    <s v="Row730"/>
    <s v="Row23"/>
    <x v="4"/>
    <s v="Row0"/>
    <s v="Row3"/>
    <s v="1427.8799999999999"/>
    <n v="3"/>
    <n v="1"/>
    <n v="0"/>
    <n v="3"/>
    <n v="4"/>
    <n v="0"/>
    <n v="0"/>
    <n v="1"/>
    <n v="1"/>
    <s v="475.96"/>
    <s v="221.71"/>
    <n v="221.71"/>
    <s v="254.24999999999997"/>
    <n v="1"/>
    <n v="1"/>
    <n v="27"/>
  </r>
  <r>
    <s v="Row656_Row159_Row1_Row31_Row98_Row3_Row0_Row0"/>
    <n v="657"/>
    <s v="RES000657"/>
    <s v="Row319"/>
    <x v="0"/>
    <s v="Row77"/>
    <s v="Row319"/>
    <x v="5"/>
    <s v="Row0"/>
    <s v="Row0"/>
    <s v="313.24"/>
    <n v="3"/>
    <n v="0"/>
    <n v="0"/>
    <n v="4"/>
    <n v="3"/>
    <n v="0"/>
    <n v="0"/>
    <n v="1"/>
    <n v="1"/>
    <s v="313.24"/>
    <s v="69.16"/>
    <n v="69.16"/>
    <s v="244.08"/>
    <n v="1"/>
    <n v="1"/>
    <n v="28"/>
  </r>
  <r>
    <s v="Row657_Row27_Row3_Row25_Row23_Row1_Row0_Row3"/>
    <n v="658"/>
    <s v="RES000658"/>
    <s v="Row59"/>
    <x v="1"/>
    <s v="Row59"/>
    <s v="Row59"/>
    <x v="6"/>
    <s v="Row0"/>
    <s v="Row4"/>
    <s v="894.96"/>
    <n v="3"/>
    <n v="0"/>
    <n v="0"/>
    <n v="5"/>
    <n v="3"/>
    <n v="0"/>
    <n v="0"/>
    <n v="1"/>
    <n v="1"/>
    <s v="447.48"/>
    <s v="80.22999999999999"/>
    <n v="80.229999999999905"/>
    <s v="367.25"/>
    <n v="1"/>
    <n v="1"/>
    <n v="29"/>
  </r>
  <r>
    <s v="Row658_Row132_Row2_Row89_Row30_Row0_Row0_Row1"/>
    <n v="659"/>
    <s v="RES000659"/>
    <s v="Row256"/>
    <x v="2"/>
    <s v="Row189"/>
    <s v="Row78"/>
    <x v="0"/>
    <s v="Row0"/>
    <s v="Row2"/>
    <s v="2234.0099999999998"/>
    <n v="3"/>
    <n v="0"/>
    <n v="0"/>
    <n v="6"/>
    <n v="3"/>
    <n v="0"/>
    <n v="0"/>
    <n v="1"/>
    <n v="1"/>
    <s v="744.67"/>
    <s v="270.07"/>
    <n v="270.07"/>
    <s v="474.59999999999997"/>
    <n v="1"/>
    <n v="1"/>
    <n v="30"/>
  </r>
  <r>
    <s v="Row659_Row306_Row0_Row127_Row103_Row2_Row0_Row4"/>
    <n v="660"/>
    <s v="RES000660"/>
    <s v="Row674"/>
    <x v="3"/>
    <s v="Row284"/>
    <s v="Row351"/>
    <x v="1"/>
    <s v="Row0"/>
    <s v="Row9"/>
    <s v="119.5"/>
    <n v="1"/>
    <n v="2"/>
    <n v="1"/>
    <n v="1"/>
    <n v="4"/>
    <n v="0"/>
    <n v="0"/>
    <n v="1"/>
    <n v="1"/>
    <s v="119.5"/>
    <s v="47.46"/>
    <n v="47.46"/>
    <s v="72.03999999999999"/>
    <n v="1"/>
    <n v="1"/>
    <n v="31"/>
  </r>
  <r>
    <s v="Row660_Row558_Row1_Row276_Row157_Row6_Row2_Row5"/>
    <n v="661"/>
    <s v="RES000661"/>
    <s v="Row1417"/>
    <x v="0"/>
    <s v="Row1399"/>
    <s v="Row1410"/>
    <x v="2"/>
    <s v="Row1350"/>
    <s v="Row1350"/>
    <s v="0"/>
    <n v="1"/>
    <n v="0"/>
    <n v="0"/>
    <n v="2"/>
    <n v="1"/>
    <n v="1"/>
    <n v="0"/>
    <n v="0"/>
    <n v="0"/>
    <s v="135.6"/>
    <n v="0"/>
    <n v="0"/>
    <s v="135.6"/>
    <n v="1"/>
    <n v="0"/>
    <n v="32"/>
  </r>
  <r>
    <s v="Row661_Row510_Row3_Row253_Row141_Row5_Row2_Row5"/>
    <n v="662"/>
    <s v="RES000662"/>
    <s v="Row1364"/>
    <x v="1"/>
    <s v="Row1364"/>
    <s v="Row1364"/>
    <x v="3"/>
    <s v="Row1350"/>
    <s v="Row1350"/>
    <s v="0"/>
    <n v="1"/>
    <n v="0"/>
    <n v="0"/>
    <n v="3"/>
    <n v="1"/>
    <n v="1"/>
    <n v="0"/>
    <n v="0"/>
    <n v="0"/>
    <s v="220.35"/>
    <n v="0"/>
    <n v="0"/>
    <s v="220.35"/>
    <n v="1"/>
    <n v="0"/>
    <n v="33"/>
  </r>
  <r>
    <s v="Row662_Row602_Row2_Row298_Row152_Row4_Row2_Row5"/>
    <n v="663"/>
    <s v="RES000663"/>
    <s v="Row1486"/>
    <x v="2"/>
    <s v="Row1452"/>
    <s v="Row1389"/>
    <x v="4"/>
    <s v="Row1350"/>
    <s v="Row1350"/>
    <s v="0"/>
    <n v="2"/>
    <n v="0"/>
    <n v="0"/>
    <n v="4"/>
    <n v="2"/>
    <n v="1"/>
    <n v="0"/>
    <n v="0"/>
    <n v="0"/>
    <s v="316.4"/>
    <n v="0"/>
    <n v="0"/>
    <s v="316.4"/>
    <n v="1"/>
    <n v="0"/>
    <n v="34"/>
  </r>
  <r>
    <s v="Row663_Row499_Row0_Row243_Row131_Row3_Row3_Row5"/>
    <n v="664"/>
    <s v="RES000664"/>
    <s v="Row1353"/>
    <x v="3"/>
    <s v="Row1353"/>
    <s v="Row1353"/>
    <x v="5"/>
    <s v="Row1351"/>
    <s v="Row1350"/>
    <s v="0"/>
    <n v="2"/>
    <n v="1"/>
    <n v="0"/>
    <n v="5"/>
    <n v="3"/>
    <n v="0"/>
    <n v="1"/>
    <n v="0"/>
    <n v="0"/>
    <s v="423.75"/>
    <n v="0"/>
    <n v="0"/>
    <s v="423.75"/>
    <n v="1"/>
    <n v="0"/>
    <n v="35"/>
  </r>
  <r>
    <s v="Row664_Row267_Row1_Row176_Row108_Row1_Row1_Row0"/>
    <n v="665"/>
    <s v="RES000665"/>
    <s v="Row570"/>
    <x v="0"/>
    <s v="Row440"/>
    <s v="Row372"/>
    <x v="6"/>
    <s v="Row87"/>
    <s v="Row0"/>
    <s v="163.62"/>
    <n v="2"/>
    <n v="0"/>
    <n v="0"/>
    <n v="6"/>
    <n v="2"/>
    <n v="0"/>
    <n v="0"/>
    <n v="0"/>
    <n v="0"/>
    <s v="409.06"/>
    <s v="22.6"/>
    <n v="22.6"/>
    <s v="386.46"/>
    <n v="1"/>
    <n v="0"/>
    <n v="36"/>
  </r>
  <r>
    <s v="Row665_Row392_Row3_Row39_Row60_Row0_Row1_Row3"/>
    <n v="666"/>
    <s v="RES000666"/>
    <s v="Row928"/>
    <x v="1"/>
    <s v="Row91"/>
    <s v="Row144"/>
    <x v="0"/>
    <s v="Row87"/>
    <s v="Row4"/>
    <s v="50.85"/>
    <n v="3"/>
    <n v="2"/>
    <n v="0"/>
    <n v="1"/>
    <n v="5"/>
    <n v="0"/>
    <n v="0"/>
    <n v="0"/>
    <n v="0"/>
    <s v="127.13"/>
    <s v="61.02"/>
    <n v="61.02"/>
    <s v="66.10999999999999"/>
    <n v="1"/>
    <n v="0"/>
    <n v="37"/>
  </r>
  <r>
    <s v="Row666_Row81_Row2_Row72_Row64_Row2_Row0_Row3"/>
    <n v="667"/>
    <s v="RES000667"/>
    <s v="Row157"/>
    <x v="2"/>
    <s v="Row157"/>
    <s v="Row149"/>
    <x v="1"/>
    <s v="Row0"/>
    <s v="Row4"/>
    <s v="865.58"/>
    <n v="3"/>
    <n v="0"/>
    <n v="0"/>
    <n v="2"/>
    <n v="3"/>
    <n v="0"/>
    <n v="0"/>
    <n v="1"/>
    <n v="1"/>
    <s v="432.79"/>
    <s v="274.59"/>
    <n v="274.58999999999997"/>
    <s v="158.20000000000005"/>
    <n v="1"/>
    <n v="1"/>
    <n v="38"/>
  </r>
  <r>
    <s v="Row667_Row82_Row0_Row73_Row32_Row6_Row0_Row1"/>
    <n v="668"/>
    <s v="RES000668"/>
    <s v="Row159"/>
    <x v="3"/>
    <s v="Row159"/>
    <s v="Row82"/>
    <x v="2"/>
    <s v="Row0"/>
    <s v="Row2"/>
    <s v="1450.92"/>
    <n v="3"/>
    <n v="1"/>
    <n v="0"/>
    <n v="3"/>
    <n v="4"/>
    <n v="0"/>
    <n v="0"/>
    <n v="1"/>
    <n v="1"/>
    <s v="483.64"/>
    <s v="229.39000000000001"/>
    <n v="229.39"/>
    <s v="254.24999999999997"/>
    <n v="1"/>
    <n v="1"/>
    <n v="39"/>
  </r>
  <r>
    <s v="Row668_Row286_Row1_Row177_Row21_Row5_Row0_Row4"/>
    <n v="669"/>
    <s v="RES000669"/>
    <s v="Row631"/>
    <x v="0"/>
    <s v="Row443"/>
    <s v="Row51"/>
    <x v="3"/>
    <s v="Row0"/>
    <s v="Row9"/>
    <s v="348.04"/>
    <n v="3"/>
    <n v="0"/>
    <n v="0"/>
    <n v="4"/>
    <n v="3"/>
    <n v="0"/>
    <n v="0"/>
    <n v="1"/>
    <n v="1"/>
    <s v="348.04"/>
    <s v="76.84"/>
    <n v="76.84"/>
    <s v="271.20000000000005"/>
    <n v="1"/>
    <n v="1"/>
    <n v="40"/>
  </r>
  <r>
    <s v="Row669_Row54_Row3_Row4_Row5_Row4_Row0_Row2"/>
    <n v="670"/>
    <s v="RES000670"/>
    <s v="Row111"/>
    <x v="1"/>
    <s v="Row7"/>
    <s v="Row9"/>
    <x v="4"/>
    <s v="Row0"/>
    <s v="Row3"/>
    <s v="855.08"/>
    <n v="1"/>
    <n v="0"/>
    <n v="0"/>
    <n v="5"/>
    <n v="1"/>
    <n v="0"/>
    <n v="0"/>
    <n v="1"/>
    <n v="1"/>
    <s v="427.54"/>
    <s v="78.64999999999999"/>
    <n v="78.649999999999906"/>
    <s v="348.89000000000004"/>
    <n v="1"/>
    <n v="1"/>
    <n v="41"/>
  </r>
  <r>
    <s v="Row670_Row2_Row2_Row213_Row100_Row3_Row0_Row0"/>
    <n v="671"/>
    <s v="RES000671"/>
    <s v="Row3"/>
    <x v="2"/>
    <s v="Row633"/>
    <s v="Row332"/>
    <x v="5"/>
    <s v="Row0"/>
    <s v="Row0"/>
    <s v="2229.27"/>
    <n v="1"/>
    <n v="0"/>
    <n v="0"/>
    <n v="6"/>
    <n v="1"/>
    <n v="0"/>
    <n v="0"/>
    <n v="1"/>
    <n v="1"/>
    <s v="743.09"/>
    <s v="268.49"/>
    <n v="268.49"/>
    <s v="474.6"/>
    <n v="1"/>
    <n v="1"/>
    <n v="42"/>
  </r>
  <r>
    <s v="Row671_Row347_Row0_Row192_Row122_Row1_Row0_Row3"/>
    <n v="672"/>
    <s v="RES000672"/>
    <s v="Row805"/>
    <x v="3"/>
    <s v="Row539"/>
    <s v="Row555"/>
    <x v="6"/>
    <s v="Row0"/>
    <s v="Row4"/>
    <s v="132.21"/>
    <n v="1"/>
    <n v="2"/>
    <n v="1"/>
    <n v="1"/>
    <n v="4"/>
    <n v="0"/>
    <n v="0"/>
    <n v="1"/>
    <n v="1"/>
    <s v="132.21"/>
    <s v="47.46"/>
    <n v="47.46"/>
    <s v="84.75"/>
    <n v="1"/>
    <n v="1"/>
    <n v="43"/>
  </r>
  <r>
    <s v="Row672_Row380_Row1_Row170_Row123_Row0_Row0_Row1"/>
    <n v="673"/>
    <s v="RES000673"/>
    <s v="Row900"/>
    <x v="0"/>
    <s v="Row424"/>
    <s v="Row559"/>
    <x v="0"/>
    <s v="Row0"/>
    <s v="Row2"/>
    <s v="874.62"/>
    <n v="2"/>
    <n v="0"/>
    <n v="0"/>
    <n v="2"/>
    <n v="2"/>
    <n v="0"/>
    <n v="0"/>
    <n v="1"/>
    <n v="1"/>
    <s v="437.31"/>
    <s v="301.71"/>
    <n v="301.70999999999998"/>
    <s v="135.60000000000002"/>
    <n v="1"/>
    <n v="1"/>
    <n v="44"/>
  </r>
  <r>
    <s v="Row673_Row45_Row3_Row112_Row89_Row2_Row0_Row4"/>
    <n v="674"/>
    <s v="RES000674"/>
    <s v="Row94"/>
    <x v="1"/>
    <s v="Row241"/>
    <s v="Row247"/>
    <x v="1"/>
    <s v="Row0"/>
    <s v="Row9"/>
    <s v="1267.8600000000001"/>
    <n v="2"/>
    <n v="0"/>
    <n v="0"/>
    <n v="3"/>
    <n v="2"/>
    <n v="0"/>
    <n v="0"/>
    <n v="1"/>
    <n v="1"/>
    <s v="422.62"/>
    <s v="202.26999999999998"/>
    <n v="202.26999999999899"/>
    <s v="220.35000000000002"/>
    <n v="1"/>
    <n v="1"/>
    <n v="45"/>
  </r>
  <r>
    <s v="Row674_Row162_Row2_Row52_Row43_Row6_Row0_Row2"/>
    <n v="675"/>
    <s v="RES000675"/>
    <s v="Row326"/>
    <x v="2"/>
    <s v="Row121"/>
    <s v="Row98"/>
    <x v="2"/>
    <s v="Row0"/>
    <s v="Row3"/>
    <s v="332.22"/>
    <n v="2"/>
    <n v="0"/>
    <n v="0"/>
    <n v="4"/>
    <n v="2"/>
    <n v="0"/>
    <n v="0"/>
    <n v="1"/>
    <n v="1"/>
    <s v="332.22"/>
    <s v="63.28"/>
    <n v="63.28"/>
    <s v="268.94000000000005"/>
    <n v="1"/>
    <n v="1"/>
    <n v="46"/>
  </r>
  <r>
    <s v="Row675_Row106_Row0_Row96_Row79_Row5_Row0_Row0"/>
    <n v="676"/>
    <s v="RES000676"/>
    <s v="Row202"/>
    <x v="3"/>
    <s v="Row202"/>
    <s v="Row202"/>
    <x v="3"/>
    <s v="Row0"/>
    <s v="Row0"/>
    <s v="980.84"/>
    <n v="3"/>
    <n v="1"/>
    <n v="0"/>
    <n v="5"/>
    <n v="4"/>
    <n v="0"/>
    <n v="0"/>
    <n v="1"/>
    <n v="1"/>
    <s v="490.42"/>
    <s v="66.67"/>
    <n v="66.67"/>
    <s v="423.75"/>
    <n v="1"/>
    <n v="1"/>
    <n v="47"/>
  </r>
  <r>
    <s v="Row676_Row34_Row1_Row193_Row33_Row4_Row0_Row3"/>
    <n v="677"/>
    <s v="RES000677"/>
    <s v="Row77"/>
    <x v="0"/>
    <s v="Row544"/>
    <s v="Row84"/>
    <x v="4"/>
    <s v="Row0"/>
    <s v="Row4"/>
    <s v="2012.31"/>
    <n v="3"/>
    <n v="0"/>
    <n v="0"/>
    <n v="6"/>
    <n v="3"/>
    <n v="0"/>
    <n v="0"/>
    <n v="1"/>
    <n v="1"/>
    <s v="670.77"/>
    <s v="263.97"/>
    <n v="263.97000000000003"/>
    <s v="406.79999999999995"/>
    <n v="1"/>
    <n v="1"/>
    <n v="48"/>
  </r>
  <r>
    <s v="Row677_Row79_Row3_Row81_Row107_Row3_Row0_Row1"/>
    <n v="678"/>
    <s v="RES000678"/>
    <s v="Row154"/>
    <x v="1"/>
    <s v="Row174"/>
    <s v="Row363"/>
    <x v="5"/>
    <s v="Row0"/>
    <s v="Row2"/>
    <s v="128.37"/>
    <n v="3"/>
    <n v="2"/>
    <n v="0"/>
    <n v="1"/>
    <n v="5"/>
    <n v="0"/>
    <n v="0"/>
    <n v="1"/>
    <n v="1"/>
    <s v="128.37"/>
    <s v="54.92"/>
    <n v="54.92"/>
    <s v="73.45"/>
    <n v="1"/>
    <n v="1"/>
    <n v="49"/>
  </r>
  <r>
    <s v="Row678_Row100_Row2_Row84_Row3_Row1_Row0_Row4"/>
    <n v="679"/>
    <s v="RES000679"/>
    <s v="Row189"/>
    <x v="2"/>
    <s v="Row179"/>
    <s v="Row4"/>
    <x v="6"/>
    <s v="Row0"/>
    <s v="Row9"/>
    <s v="865.58"/>
    <n v="3"/>
    <n v="0"/>
    <n v="0"/>
    <n v="2"/>
    <n v="3"/>
    <n v="0"/>
    <n v="0"/>
    <n v="1"/>
    <n v="1"/>
    <s v="432.79"/>
    <s v="274.59"/>
    <n v="274.58999999999997"/>
    <s v="158.20000000000005"/>
    <n v="1"/>
    <n v="1"/>
    <n v="50"/>
  </r>
  <r>
    <s v="Row679_Row235_Row0_Row229_Row87_Row0_Row0_Row2"/>
    <n v="680"/>
    <s v="RES000680"/>
    <s v="Row496"/>
    <x v="3"/>
    <s v="Row831"/>
    <s v="Row230"/>
    <x v="0"/>
    <s v="Row0"/>
    <s v="Row3"/>
    <s v="1412.79"/>
    <n v="1"/>
    <n v="1"/>
    <n v="0"/>
    <n v="3"/>
    <n v="2"/>
    <n v="0"/>
    <n v="0"/>
    <n v="1"/>
    <n v="1"/>
    <s v="470.93"/>
    <s v="229.39000000000001"/>
    <n v="229.39"/>
    <s v="241.54"/>
    <n v="1"/>
    <n v="1"/>
    <n v="51"/>
  </r>
  <r>
    <s v="Row680_Row496_Row1_Row240_Row128_Row2_Row2_Row5"/>
    <n v="681"/>
    <s v="RES000681"/>
    <s v="Row1350"/>
    <x v="0"/>
    <s v="Row1350"/>
    <s v="Row1350"/>
    <x v="1"/>
    <s v="Row1350"/>
    <s v="Row1350"/>
    <s v="0"/>
    <n v="1"/>
    <n v="0"/>
    <n v="0"/>
    <n v="4"/>
    <n v="1"/>
    <n v="1"/>
    <n v="0"/>
    <n v="0"/>
    <n v="0"/>
    <s v="411.32"/>
    <n v="0"/>
    <n v="0"/>
    <s v="411.32"/>
    <n v="1"/>
    <n v="0"/>
    <n v="52"/>
  </r>
  <r>
    <s v="Row681_Row580_Row3_Row248_Row158_Row6_Row2_Row5"/>
    <n v="682"/>
    <s v="RES000682"/>
    <s v="Row1449"/>
    <x v="1"/>
    <s v="Row1358"/>
    <s v="Row1436"/>
    <x v="2"/>
    <s v="Row1350"/>
    <s v="Row1350"/>
    <s v="0"/>
    <n v="1"/>
    <n v="0"/>
    <n v="0"/>
    <n v="5"/>
    <n v="1"/>
    <n v="1"/>
    <n v="0"/>
    <n v="0"/>
    <n v="0"/>
    <s v="548.05"/>
    <n v="0"/>
    <n v="0"/>
    <s v="548.05"/>
    <n v="1"/>
    <n v="0"/>
    <n v="53"/>
  </r>
  <r>
    <s v="Row682_Row574_Row2_Row274_Row140_Row5_Row2_Row5"/>
    <n v="683"/>
    <s v="RES000683"/>
    <s v="Row1440"/>
    <x v="2"/>
    <s v="Row1397"/>
    <s v="Row1362"/>
    <x v="3"/>
    <s v="Row1350"/>
    <s v="Row1350"/>
    <s v="0"/>
    <n v="2"/>
    <n v="0"/>
    <n v="0"/>
    <n v="6"/>
    <n v="2"/>
    <n v="1"/>
    <n v="0"/>
    <n v="0"/>
    <n v="0"/>
    <s v="698.34"/>
    <n v="0"/>
    <n v="0"/>
    <s v="698.34"/>
    <n v="1"/>
    <n v="0"/>
    <n v="54"/>
  </r>
  <r>
    <s v="Row683_Row523_Row0_Row246_Row146_Row4_Row3_Row5"/>
    <n v="684"/>
    <s v="RES000684"/>
    <s v="Row1378"/>
    <x v="3"/>
    <s v="Row1356"/>
    <s v="Row1372"/>
    <x v="4"/>
    <s v="Row1351"/>
    <s v="Row1350"/>
    <s v="0"/>
    <n v="2"/>
    <n v="2"/>
    <n v="1"/>
    <n v="1"/>
    <n v="5"/>
    <n v="0"/>
    <n v="1"/>
    <n v="0"/>
    <n v="0"/>
    <s v="110.85"/>
    <n v="0"/>
    <n v="0"/>
    <s v="110.85"/>
    <n v="1"/>
    <n v="0"/>
    <n v="55"/>
  </r>
  <r>
    <s v="Row684_Row239_Row1_Row205_Row111_Row3_Row1_Row3"/>
    <n v="685"/>
    <s v="RES000685"/>
    <s v="Row504"/>
    <x v="0"/>
    <s v="Row591"/>
    <s v="Row384"/>
    <x v="5"/>
    <s v="Row87"/>
    <s v="Row4"/>
    <s v="152.6"/>
    <n v="2"/>
    <n v="0"/>
    <n v="0"/>
    <n v="2"/>
    <n v="2"/>
    <n v="0"/>
    <n v="0"/>
    <n v="0"/>
    <n v="0"/>
    <s v="381.49"/>
    <s v="186.11"/>
    <n v="186.11"/>
    <s v="195.38"/>
    <n v="1"/>
    <n v="0"/>
    <n v="56"/>
  </r>
  <r>
    <s v="Row685_Row202_Row3_Row165_Row38_Row1_Row1_Row1"/>
    <n v="686"/>
    <s v="RES000686"/>
    <s v="Row409"/>
    <x v="1"/>
    <s v="Row409"/>
    <s v="Row91"/>
    <x v="6"/>
    <s v="Row87"/>
    <s v="Row2"/>
    <s v="169.5"/>
    <n v="3"/>
    <n v="0"/>
    <n v="0"/>
    <n v="3"/>
    <n v="3"/>
    <n v="0"/>
    <n v="0"/>
    <n v="0"/>
    <n v="0"/>
    <s v="423.75"/>
    <s v="94.92"/>
    <n v="94.92"/>
    <s v="328.83"/>
    <n v="1"/>
    <n v="0"/>
    <n v="57"/>
  </r>
  <r>
    <s v="Row686_Row367_Row2_Row117_Row82_Row0_Row0_Row1"/>
    <n v="687"/>
    <s v="RES000687"/>
    <s v="Row868"/>
    <x v="2"/>
    <s v="Row255"/>
    <s v="Row210"/>
    <x v="0"/>
    <s v="Row0"/>
    <s v="Row2"/>
    <s v="528.84"/>
    <n v="3"/>
    <n v="0"/>
    <n v="0"/>
    <n v="4"/>
    <n v="3"/>
    <n v="0"/>
    <n v="0"/>
    <n v="1"/>
    <n v="1"/>
    <s v="528.84"/>
    <s v="63.28"/>
    <n v="63.28"/>
    <s v="465.56000000000006"/>
    <n v="1"/>
    <n v="1"/>
    <n v="58"/>
  </r>
  <r>
    <s v="Row687_Row452_Row0_Row157_Row63_Row2_Row0_Row4"/>
    <n v="688"/>
    <s v="RES000688"/>
    <s v="Row1168"/>
    <x v="3"/>
    <s v="Row375"/>
    <s v="Row148"/>
    <x v="1"/>
    <s v="Row0"/>
    <s v="Row9"/>
    <s v="1365.04"/>
    <n v="3"/>
    <n v="1"/>
    <n v="0"/>
    <n v="5"/>
    <n v="4"/>
    <n v="0"/>
    <n v="0"/>
    <n v="1"/>
    <n v="1"/>
    <s v="682.52"/>
    <s v="66.67"/>
    <n v="66.67"/>
    <s v="615.85"/>
    <n v="1"/>
    <n v="1"/>
    <n v="59"/>
  </r>
  <r>
    <s v="Row688_Row355_Row1_Row169_Row16_Row6_Row0_Row2"/>
    <n v="689"/>
    <s v="RES000689"/>
    <s v="Row821"/>
    <x v="0"/>
    <s v="Row421"/>
    <s v="Row37"/>
    <x v="2"/>
    <s v="Row0"/>
    <s v="Row3"/>
    <s v="2661.1499999999996"/>
    <n v="3"/>
    <n v="0"/>
    <n v="0"/>
    <n v="6"/>
    <n v="3"/>
    <n v="0"/>
    <n v="0"/>
    <n v="1"/>
    <n v="1"/>
    <s v="887.05"/>
    <s v="270.07"/>
    <n v="270.07"/>
    <s v="616.98"/>
    <n v="1"/>
    <n v="1"/>
    <n v="60"/>
  </r>
  <r>
    <s v="Row689_Row4_Row3_Row20_Row48_Row5_Row0_Row0"/>
    <n v="690"/>
    <s v="RES000690"/>
    <s v="Row7"/>
    <x v="1"/>
    <s v="Row47"/>
    <s v="Row111"/>
    <x v="3"/>
    <s v="Row0"/>
    <s v="Row0"/>
    <s v="154.19"/>
    <n v="1"/>
    <n v="2"/>
    <n v="0"/>
    <n v="1"/>
    <n v="3"/>
    <n v="0"/>
    <n v="0"/>
    <n v="1"/>
    <n v="1"/>
    <s v="154.19"/>
    <s v="61.02"/>
    <n v="61.02"/>
    <s v="93.16999999999999"/>
    <n v="1"/>
    <n v="1"/>
    <n v="61"/>
  </r>
  <r>
    <s v="Row690_Row431_Row2_Row40_Row2_Row4_Row0_Row3"/>
    <n v="691"/>
    <s v="RES000691"/>
    <s v="Row1072"/>
    <x v="2"/>
    <s v="Row92"/>
    <s v="Row3"/>
    <x v="4"/>
    <s v="Row0"/>
    <s v="Row4"/>
    <s v="997.12"/>
    <n v="1"/>
    <n v="0"/>
    <n v="0"/>
    <n v="2"/>
    <n v="1"/>
    <n v="0"/>
    <n v="0"/>
    <n v="1"/>
    <n v="1"/>
    <s v="498.56"/>
    <s v="265.78"/>
    <n v="265.77999999999997"/>
    <s v="232.78000000000003"/>
    <n v="1"/>
    <n v="1"/>
    <n v="62"/>
  </r>
  <r>
    <s v="Row691_Row254_Row0_Row209_Row84_Row3_Row0_Row1"/>
    <n v="692"/>
    <s v="RES000692"/>
    <s v="Row539"/>
    <x v="3"/>
    <s v="Row615"/>
    <s v="Row218"/>
    <x v="5"/>
    <s v="Row0"/>
    <s v="Row2"/>
    <s v="1770.27"/>
    <n v="1"/>
    <n v="1"/>
    <n v="0"/>
    <n v="3"/>
    <n v="2"/>
    <n v="0"/>
    <n v="0"/>
    <n v="1"/>
    <n v="1"/>
    <s v="590.09"/>
    <s v="220.58"/>
    <n v="220.58"/>
    <s v="369.51"/>
    <n v="1"/>
    <n v="1"/>
    <n v="63"/>
  </r>
  <r>
    <s v="Row692_Row240_Row1_Row119_Row72_Row1_Row0_Row4"/>
    <n v="693"/>
    <s v="RES000693"/>
    <s v="Row505"/>
    <x v="0"/>
    <s v="Row259"/>
    <s v="Row172"/>
    <x v="6"/>
    <s v="Row0"/>
    <s v="Row9"/>
    <s v="447.03"/>
    <n v="2"/>
    <n v="0"/>
    <n v="0"/>
    <n v="4"/>
    <n v="2"/>
    <n v="0"/>
    <n v="0"/>
    <n v="1"/>
    <n v="1"/>
    <s v="447.03"/>
    <s v="76.84"/>
    <n v="76.84"/>
    <s v="370.18999999999994"/>
    <n v="1"/>
    <n v="1"/>
    <n v="64"/>
  </r>
  <r>
    <s v="Row693_Row125_Row3_Row211_Row40_Row0_Row0_Row2"/>
    <n v="694"/>
    <s v="RES000694"/>
    <s v="Row241"/>
    <x v="1"/>
    <s v="Row626"/>
    <s v="Row94"/>
    <x v="0"/>
    <s v="Row0"/>
    <s v="Row3"/>
    <s v="1256.56"/>
    <n v="2"/>
    <n v="0"/>
    <n v="0"/>
    <n v="5"/>
    <n v="2"/>
    <n v="0"/>
    <n v="0"/>
    <n v="1"/>
    <n v="1"/>
    <s v="628.28"/>
    <s v="80.22999999999999"/>
    <n v="80.229999999999905"/>
    <s v="548.05"/>
    <n v="1"/>
    <n v="1"/>
    <n v="65"/>
  </r>
  <r>
    <s v="Row694_Row31_Row2_Row28_Row27_Row2_Row0_Row0"/>
    <n v="695"/>
    <s v="RES000695"/>
    <s v="Row68"/>
    <x v="2"/>
    <s v="Row68"/>
    <s v="Row68"/>
    <x v="1"/>
    <s v="Row0"/>
    <s v="Row0"/>
    <s v="2800.4700000000003"/>
    <n v="2"/>
    <n v="0"/>
    <n v="0"/>
    <n v="6"/>
    <n v="2"/>
    <n v="0"/>
    <n v="0"/>
    <n v="1"/>
    <n v="1"/>
    <s v="933.49"/>
    <s v="270.07"/>
    <n v="270.07"/>
    <s v="663.4200000000001"/>
    <n v="1"/>
    <n v="1"/>
    <n v="66"/>
  </r>
  <r>
    <s v="Row695_Row163_Row0_Row137_Row99_Row6_Row0_Row3"/>
    <n v="696"/>
    <s v="RES000696"/>
    <s v="Row327"/>
    <x v="3"/>
    <s v="Row327"/>
    <s v="Row327"/>
    <x v="2"/>
    <s v="Row0"/>
    <s v="Row4"/>
    <s v="170.63"/>
    <n v="3"/>
    <n v="2"/>
    <n v="1"/>
    <n v="1"/>
    <n v="6"/>
    <n v="0"/>
    <n v="0"/>
    <n v="1"/>
    <n v="1"/>
    <s v="170.63"/>
    <s v="47.46"/>
    <n v="47.46"/>
    <s v="123.16999999999999"/>
    <n v="1"/>
    <n v="1"/>
    <n v="67"/>
  </r>
  <r>
    <s v="Row696_Row256_Row1_Row87_Row29_Row5_Row0_Row1"/>
    <n v="697"/>
    <s v="RES000697"/>
    <s v="Row544"/>
    <x v="0"/>
    <s v="Row186"/>
    <s v="Row77"/>
    <x v="3"/>
    <s v="Row0"/>
    <s v="Row2"/>
    <s v="1014.74"/>
    <n v="3"/>
    <n v="0"/>
    <n v="0"/>
    <n v="2"/>
    <n v="3"/>
    <n v="0"/>
    <n v="0"/>
    <n v="1"/>
    <n v="1"/>
    <s v="507.37"/>
    <s v="301.71"/>
    <n v="301.70999999999998"/>
    <s v="205.66000000000003"/>
    <n v="1"/>
    <n v="1"/>
    <n v="68"/>
  </r>
  <r>
    <s v="Row697_Row220_Row3_Row184_Row66_Row4_Row0_Row4"/>
    <n v="698"/>
    <s v="RES000698"/>
    <s v="Row454"/>
    <x v="1"/>
    <s v="Row506"/>
    <s v="Row154"/>
    <x v="4"/>
    <s v="Row0"/>
    <s v="Row9"/>
    <s v="1574.31"/>
    <n v="3"/>
    <n v="0"/>
    <n v="0"/>
    <n v="3"/>
    <n v="3"/>
    <n v="0"/>
    <n v="0"/>
    <n v="1"/>
    <n v="1"/>
    <s v="524.77"/>
    <s v="195.94"/>
    <n v="195.94"/>
    <s v="328.83"/>
    <n v="1"/>
    <n v="1"/>
    <n v="69"/>
  </r>
  <r>
    <s v="Row698_Row58_Row2_Row51_Row6_Row3_Row0_Row2"/>
    <n v="699"/>
    <s v="RES000699"/>
    <s v="Row120"/>
    <x v="2"/>
    <s v="Row120"/>
    <s v="Row12"/>
    <x v="5"/>
    <s v="Row0"/>
    <s v="Row3"/>
    <s v="522.51"/>
    <n v="3"/>
    <n v="0"/>
    <n v="0"/>
    <n v="4"/>
    <n v="3"/>
    <n v="0"/>
    <n v="0"/>
    <n v="1"/>
    <n v="1"/>
    <s v="522.51"/>
    <s v="56.95"/>
    <n v="56.95"/>
    <s v="465.56"/>
    <n v="1"/>
    <n v="1"/>
    <n v="70"/>
  </r>
  <r>
    <s v="Row699_Row308_Row0_Row46_Row44_Row1_Row0_Row0"/>
    <n v="700"/>
    <s v="RES000700"/>
    <s v="Row680"/>
    <x v="3"/>
    <s v="Row103"/>
    <s v="Row101"/>
    <x v="6"/>
    <s v="Row0"/>
    <s v="Row0"/>
    <s v="1303.46"/>
    <n v="1"/>
    <n v="1"/>
    <n v="0"/>
    <n v="5"/>
    <n v="2"/>
    <n v="0"/>
    <n v="0"/>
    <n v="1"/>
    <n v="1"/>
    <s v="651.73"/>
    <s v="66.67"/>
    <n v="66.67"/>
    <s v="585.0600000000001"/>
    <n v="1"/>
    <n v="1"/>
    <n v="71"/>
  </r>
  <r>
    <s v="Row700_Row563_Row1_Row247_Row139_Row0_Row2_Row5"/>
    <n v="701"/>
    <s v="RES000701"/>
    <s v="Row1424"/>
    <x v="0"/>
    <s v="Row1357"/>
    <s v="Row1361"/>
    <x v="0"/>
    <s v="Row1350"/>
    <s v="Row1350"/>
    <s v="0"/>
    <n v="1"/>
    <n v="0"/>
    <n v="0"/>
    <n v="6"/>
    <n v="1"/>
    <n v="1"/>
    <n v="0"/>
    <n v="0"/>
    <n v="0"/>
    <s v="616.98"/>
    <n v="0"/>
    <n v="0"/>
    <s v="616.98"/>
    <n v="1"/>
    <n v="0"/>
    <n v="72"/>
  </r>
  <r>
    <s v="Row701_Row504_Row3_Row268_Row138_Row2_Row2_Row5"/>
    <n v="702"/>
    <s v="RES000702"/>
    <s v="Row1358"/>
    <x v="1"/>
    <s v="Row1387"/>
    <s v="Row1360"/>
    <x v="1"/>
    <s v="Row1350"/>
    <s v="Row1350"/>
    <s v="0"/>
    <n v="1"/>
    <n v="2"/>
    <n v="0"/>
    <n v="1"/>
    <n v="3"/>
    <n v="1"/>
    <n v="0"/>
    <n v="0"/>
    <n v="0"/>
    <s v="98.65"/>
    <n v="0"/>
    <n v="0"/>
    <s v="98.65"/>
    <n v="1"/>
    <n v="0"/>
    <n v="73"/>
  </r>
  <r>
    <s v="Row702_Row540_Row2_Row290_Row156_Row6_Row2_Row5"/>
    <n v="703"/>
    <s v="RES000703"/>
    <s v="Row1397"/>
    <x v="2"/>
    <s v="Row1433"/>
    <s v="Row1408"/>
    <x v="2"/>
    <s v="Row1350"/>
    <s v="Row1350"/>
    <s v="0"/>
    <n v="2"/>
    <n v="0"/>
    <n v="0"/>
    <n v="2"/>
    <n v="2"/>
    <n v="1"/>
    <n v="0"/>
    <n v="0"/>
    <n v="0"/>
    <s v="232.78"/>
    <n v="0"/>
    <n v="0"/>
    <s v="232.78"/>
    <n v="1"/>
    <n v="0"/>
    <n v="74"/>
  </r>
  <r>
    <s v="Row703_Row565_Row0_Row267_Row134_Row5_Row3_Row5"/>
    <n v="704"/>
    <s v="RES000704"/>
    <s v="Row1426"/>
    <x v="3"/>
    <s v="Row1385"/>
    <s v="Row1356"/>
    <x v="3"/>
    <s v="Row1351"/>
    <s v="Row1350"/>
    <s v="0"/>
    <n v="2"/>
    <n v="1"/>
    <n v="0"/>
    <n v="3"/>
    <n v="3"/>
    <n v="0"/>
    <n v="1"/>
    <n v="0"/>
    <n v="0"/>
    <s v="369.51"/>
    <n v="0"/>
    <n v="0"/>
    <s v="369.51"/>
    <n v="1"/>
    <n v="0"/>
    <n v="75"/>
  </r>
  <r>
    <s v="Row704_Row365_Row1_Row227_Row62_Row4_Row1_Row1"/>
    <n v="705"/>
    <s v="RES000705"/>
    <s v="Row865"/>
    <x v="0"/>
    <s v="Row810"/>
    <s v="Row146"/>
    <x v="4"/>
    <s v="Row87"/>
    <s v="Row2"/>
    <s v="170.58"/>
    <n v="2"/>
    <n v="0"/>
    <n v="0"/>
    <n v="4"/>
    <n v="2"/>
    <n v="0"/>
    <n v="0"/>
    <n v="0"/>
    <n v="0"/>
    <s v="426.46"/>
    <s v="76.84"/>
    <n v="76.84"/>
    <s v="349.62"/>
    <n v="1"/>
    <n v="0"/>
    <n v="76"/>
  </r>
  <r>
    <s v="Row705_Row321_Row3_Row181_Row112_Row3_Row1_Row4"/>
    <n v="706"/>
    <s v="RES000706"/>
    <s v="Row717"/>
    <x v="1"/>
    <s v="Row463"/>
    <s v="Row390"/>
    <x v="5"/>
    <s v="Row87"/>
    <s v="Row9"/>
    <s v="242.41"/>
    <n v="3"/>
    <n v="0"/>
    <n v="0"/>
    <n v="5"/>
    <n v="3"/>
    <n v="0"/>
    <n v="0"/>
    <n v="0"/>
    <n v="0"/>
    <s v="606.02"/>
    <s v="57.97"/>
    <n v="57.97"/>
    <s v="548.05"/>
    <n v="1"/>
    <n v="0"/>
    <n v="77"/>
  </r>
  <r>
    <s v="Row706_Row288_Row2_Row116_Row91_Row1_Row0_Row4"/>
    <n v="707"/>
    <s v="RES000707"/>
    <s v="Row639"/>
    <x v="2"/>
    <s v="Row251"/>
    <s v="Row255"/>
    <x v="6"/>
    <s v="Row0"/>
    <s v="Row9"/>
    <s v="2905.23"/>
    <n v="3"/>
    <n v="0"/>
    <n v="0"/>
    <n v="6"/>
    <n v="3"/>
    <n v="0"/>
    <n v="0"/>
    <n v="1"/>
    <n v="1"/>
    <s v="968.41"/>
    <s v="270.07"/>
    <n v="270.07"/>
    <s v="698.3399999999999"/>
    <n v="1"/>
    <n v="1"/>
    <n v="78"/>
  </r>
  <r>
    <s v="Row707_Row187_Row0_Row88_Row67_Row0_Row0_Row2"/>
    <n v="708"/>
    <s v="RES000708"/>
    <s v="Row375"/>
    <x v="3"/>
    <s v="Row188"/>
    <s v="Row156"/>
    <x v="0"/>
    <s v="Row0"/>
    <s v="Row3"/>
    <s v="170.63"/>
    <n v="3"/>
    <n v="2"/>
    <n v="1"/>
    <n v="1"/>
    <n v="6"/>
    <n v="0"/>
    <n v="0"/>
    <n v="1"/>
    <n v="1"/>
    <s v="170.63"/>
    <s v="47.46"/>
    <n v="47.46"/>
    <s v="123.16999999999999"/>
    <n v="1"/>
    <n v="1"/>
    <n v="79"/>
  </r>
  <r>
    <s v="Row708_Row208_Row1_Row106_Row117_Row2_Row0_Row0"/>
    <n v="709"/>
    <s v="RES000709"/>
    <s v="Row421"/>
    <x v="0"/>
    <s v="Row228"/>
    <s v="Row492"/>
    <x v="1"/>
    <s v="Row0"/>
    <s v="Row0"/>
    <s v="1014.74"/>
    <n v="3"/>
    <n v="0"/>
    <n v="0"/>
    <n v="2"/>
    <n v="3"/>
    <n v="0"/>
    <n v="0"/>
    <n v="1"/>
    <n v="1"/>
    <s v="507.37"/>
    <s v="301.71"/>
    <n v="301.70999999999998"/>
    <s v="205.66000000000003"/>
    <n v="1"/>
    <n v="1"/>
    <n v="80"/>
  </r>
  <r>
    <s v="Row709_Row130_Row3_Row162_Row4_Row6_Row0_Row3"/>
    <n v="710"/>
    <s v="RES000710"/>
    <s v="Row254"/>
    <x v="1"/>
    <s v="Row393"/>
    <s v="Row7"/>
    <x v="2"/>
    <s v="Row0"/>
    <s v="Row4"/>
    <s v="1543.98"/>
    <n v="1"/>
    <n v="0"/>
    <n v="0"/>
    <n v="3"/>
    <n v="1"/>
    <n v="0"/>
    <n v="0"/>
    <n v="1"/>
    <n v="1"/>
    <s v="514.66"/>
    <s v="202.26999999999998"/>
    <n v="202.26999999999899"/>
    <s v="312.39"/>
    <n v="1"/>
    <n v="1"/>
    <n v="81"/>
  </r>
  <r>
    <s v="Row710_Row44_Row2_Row150_Row49_Row5_Row0_Row1"/>
    <n v="711"/>
    <s v="RES000711"/>
    <s v="Row92"/>
    <x v="2"/>
    <s v="Row357"/>
    <s v="Row116"/>
    <x v="3"/>
    <s v="Row0"/>
    <s v="Row2"/>
    <s v="482.28"/>
    <n v="1"/>
    <n v="0"/>
    <n v="0"/>
    <n v="4"/>
    <n v="1"/>
    <n v="0"/>
    <n v="0"/>
    <n v="1"/>
    <n v="1"/>
    <s v="482.28"/>
    <s v="63.28"/>
    <n v="63.28"/>
    <n v="419"/>
    <n v="1"/>
    <n v="1"/>
    <n v="82"/>
  </r>
  <r>
    <s v="Row711_Row351_Row0_Row191_Row120_Row4_Row0_Row4"/>
    <n v="712"/>
    <s v="RES000712"/>
    <s v="Row814"/>
    <x v="3"/>
    <s v="Row536"/>
    <s v="Row539"/>
    <x v="4"/>
    <s v="Row0"/>
    <s v="Row9"/>
    <s v="1360.52"/>
    <n v="1"/>
    <n v="1"/>
    <n v="0"/>
    <n v="5"/>
    <n v="2"/>
    <n v="0"/>
    <n v="0"/>
    <n v="1"/>
    <n v="1"/>
    <s v="680.26"/>
    <s v="64.41"/>
    <n v="64.41"/>
    <s v="615.85"/>
    <n v="1"/>
    <n v="1"/>
    <n v="83"/>
  </r>
  <r>
    <s v="Row712_Row207_Row1_Row23_Row92_Row3_Row0_Row2"/>
    <n v="713"/>
    <s v="RES000713"/>
    <s v="Row420"/>
    <x v="0"/>
    <s v="Row53"/>
    <s v="Row259"/>
    <x v="5"/>
    <s v="Row0"/>
    <s v="Row3"/>
    <s v="2654.37"/>
    <n v="2"/>
    <n v="0"/>
    <n v="0"/>
    <n v="6"/>
    <n v="2"/>
    <n v="0"/>
    <n v="0"/>
    <n v="1"/>
    <n v="1"/>
    <s v="884.79"/>
    <s v="267.81"/>
    <n v="267.81"/>
    <s v="616.98"/>
    <n v="1"/>
    <n v="1"/>
    <n v="84"/>
  </r>
  <r>
    <s v="Row713_Row61_Row3_Row55_Row8_Row1_Row0_Row0"/>
    <n v="714"/>
    <s v="RES000714"/>
    <s v="Row126"/>
    <x v="1"/>
    <s v="Row126"/>
    <s v="Row18"/>
    <x v="6"/>
    <s v="Row0"/>
    <s v="Row0"/>
    <s v="170.63"/>
    <n v="2"/>
    <n v="2"/>
    <n v="0"/>
    <n v="1"/>
    <n v="4"/>
    <n v="0"/>
    <n v="0"/>
    <n v="1"/>
    <n v="1"/>
    <s v="170.63"/>
    <s v="61.02"/>
    <n v="61.02"/>
    <s v="109.60999999999999"/>
    <n v="1"/>
    <n v="1"/>
    <n v="85"/>
  </r>
  <r>
    <s v="Row714_Row115_Row2_Row86_Row51_Row0_Row0_Row3"/>
    <n v="715"/>
    <s v="RES000715"/>
    <s v="Row220"/>
    <x v="2"/>
    <s v="Row184"/>
    <s v="Row121"/>
    <x v="0"/>
    <s v="Row0"/>
    <s v="Row4"/>
    <s v="991.46"/>
    <n v="2"/>
    <n v="0"/>
    <n v="0"/>
    <n v="2"/>
    <n v="2"/>
    <n v="0"/>
    <n v="0"/>
    <n v="1"/>
    <n v="1"/>
    <s v="495.73"/>
    <s v="274.59"/>
    <n v="274.58999999999997"/>
    <s v="221.14000000000004"/>
    <n v="1"/>
    <n v="1"/>
    <n v="86"/>
  </r>
  <r>
    <s v="Row715_Row316_Row0_Row141_Row15_Row2_Row0_Row1"/>
    <n v="716"/>
    <s v="RES000716"/>
    <s v="Row708"/>
    <x v="3"/>
    <s v="Row333"/>
    <s v="Row35"/>
    <x v="1"/>
    <s v="Row0"/>
    <s v="Row2"/>
    <s v="1796.6999999999998"/>
    <n v="3"/>
    <n v="1"/>
    <n v="0"/>
    <n v="3"/>
    <n v="4"/>
    <n v="0"/>
    <n v="0"/>
    <n v="1"/>
    <n v="1"/>
    <s v="598.9"/>
    <s v="229.39000000000001"/>
    <n v="229.39"/>
    <s v="369.51"/>
    <n v="1"/>
    <n v="1"/>
    <n v="87"/>
  </r>
  <r>
    <s v="Row716_Row98_Row1_Row14_Row110_Row6_Row0_Row4"/>
    <n v="717"/>
    <s v="RES000717"/>
    <s v="Row186"/>
    <x v="0"/>
    <s v="Row34"/>
    <s v="Row383"/>
    <x v="2"/>
    <s v="Row0"/>
    <s v="Row9"/>
    <s v="488.16"/>
    <n v="3"/>
    <n v="0"/>
    <n v="0"/>
    <n v="4"/>
    <n v="3"/>
    <n v="0"/>
    <n v="0"/>
    <n v="1"/>
    <n v="1"/>
    <s v="488.16"/>
    <s v="76.84"/>
    <n v="76.84"/>
    <s v="411.32000000000005"/>
    <n v="1"/>
    <n v="1"/>
    <n v="88"/>
  </r>
  <r>
    <s v="Row717_Row241_Row3_Row115_Row115_Row5_Row0_Row2"/>
    <n v="718"/>
    <s v="RES000718"/>
    <s v="Row506"/>
    <x v="1"/>
    <s v="Row249"/>
    <s v="Row454"/>
    <x v="3"/>
    <s v="Row0"/>
    <s v="Row3"/>
    <s v="1256.56"/>
    <n v="3"/>
    <n v="0"/>
    <n v="0"/>
    <n v="5"/>
    <n v="3"/>
    <n v="0"/>
    <n v="0"/>
    <n v="1"/>
    <n v="1"/>
    <s v="628.28"/>
    <s v="80.22999999999999"/>
    <n v="80.229999999999905"/>
    <s v="548.05"/>
    <n v="1"/>
    <n v="1"/>
    <n v="89"/>
  </r>
  <r>
    <s v="Row718_Row146_Row2_Row100_Row97_Row4_Row0_Row0"/>
    <n v="719"/>
    <s v="RES000719"/>
    <s v="Row288"/>
    <x v="2"/>
    <s v="Row212"/>
    <s v="Row296"/>
    <x v="4"/>
    <s v="Row0"/>
    <s v="Row0"/>
    <s v="2890.98"/>
    <n v="3"/>
    <n v="0"/>
    <n v="0"/>
    <n v="6"/>
    <n v="3"/>
    <n v="0"/>
    <n v="0"/>
    <n v="1"/>
    <n v="1"/>
    <s v="963.66"/>
    <s v="265.32"/>
    <n v="265.32"/>
    <s v="698.3399999999999"/>
    <n v="1"/>
    <n v="1"/>
    <n v="90"/>
  </r>
  <r>
    <s v="Row719_Row471_Row0_Row26_Row45_Row3_Row0_Row3"/>
    <n v="720"/>
    <s v="RES000720"/>
    <s v="Row1251"/>
    <x v="3"/>
    <s v="Row61"/>
    <s v="Row103"/>
    <x v="5"/>
    <s v="Row0"/>
    <s v="Row4"/>
    <s v="147.4"/>
    <n v="1"/>
    <n v="2"/>
    <n v="1"/>
    <n v="1"/>
    <n v="4"/>
    <n v="0"/>
    <n v="0"/>
    <n v="1"/>
    <n v="1"/>
    <s v="147.4"/>
    <s v="42.71"/>
    <n v="42.71"/>
    <s v="104.69"/>
    <n v="1"/>
    <n v="1"/>
    <n v="1"/>
  </r>
  <r>
    <s v="Row720_Row503_Row1_Row287_Row142_Row1_Row2_Row5"/>
    <n v="721"/>
    <s v="RES000721"/>
    <s v="Row1357"/>
    <x v="0"/>
    <s v="Row1423"/>
    <s v="Row1365"/>
    <x v="6"/>
    <s v="Row1350"/>
    <s v="Row1350"/>
    <s v="0"/>
    <n v="1"/>
    <n v="0"/>
    <n v="0"/>
    <n v="2"/>
    <n v="1"/>
    <n v="1"/>
    <n v="0"/>
    <n v="0"/>
    <n v="0"/>
    <s v="205.66"/>
    <n v="0"/>
    <n v="0"/>
    <s v="205.66"/>
    <n v="1"/>
    <n v="0"/>
    <n v="2"/>
  </r>
  <r>
    <s v="Row721_Row530_Row3_Row292_Row136_Row0_Row2_Row5"/>
    <n v="722"/>
    <s v="RES000722"/>
    <s v="Row1387"/>
    <x v="1"/>
    <s v="Row1435"/>
    <s v="Row1358"/>
    <x v="0"/>
    <s v="Row1350"/>
    <s v="Row1350"/>
    <s v="0"/>
    <n v="1"/>
    <n v="0"/>
    <n v="0"/>
    <n v="3"/>
    <n v="1"/>
    <n v="1"/>
    <n v="0"/>
    <n v="0"/>
    <n v="0"/>
    <s v="328.83"/>
    <n v="0"/>
    <n v="0"/>
    <s v="328.83"/>
    <n v="1"/>
    <n v="0"/>
    <n v="3"/>
  </r>
  <r>
    <s v="Row722_Row547_Row2_Row278_Row137_Row2_Row2_Row5"/>
    <n v="723"/>
    <s v="RES000723"/>
    <s v="Row1405"/>
    <x v="2"/>
    <s v="Row1402"/>
    <s v="Row1359"/>
    <x v="1"/>
    <s v="Row1350"/>
    <s v="Row1350"/>
    <s v="0"/>
    <n v="2"/>
    <n v="0"/>
    <n v="0"/>
    <n v="4"/>
    <n v="2"/>
    <n v="1"/>
    <n v="0"/>
    <n v="0"/>
    <n v="0"/>
    <s v="465.56"/>
    <n v="0"/>
    <n v="0"/>
    <s v="465.56"/>
    <n v="1"/>
    <n v="0"/>
    <n v="4"/>
  </r>
  <r>
    <s v="Row723_Row528_Row0_Row265_Row155_Row6_Row3_Row5"/>
    <n v="724"/>
    <s v="RES000724"/>
    <s v="Row1385"/>
    <x v="3"/>
    <s v="Row1380"/>
    <s v="Row1404"/>
    <x v="2"/>
    <s v="Row1351"/>
    <s v="Row1350"/>
    <s v="0"/>
    <n v="2"/>
    <n v="1"/>
    <n v="0"/>
    <n v="5"/>
    <n v="3"/>
    <n v="0"/>
    <n v="1"/>
    <n v="0"/>
    <n v="0"/>
    <s v="615.85"/>
    <n v="0"/>
    <n v="0"/>
    <s v="615.85"/>
    <n v="1"/>
    <n v="0"/>
    <n v="5"/>
  </r>
  <r>
    <s v="Row724_Row257_Row1_Row194_Row121_Row5_Row1_Row4"/>
    <n v="725"/>
    <s v="RES000725"/>
    <s v="Row547"/>
    <x v="0"/>
    <s v="Row547"/>
    <s v="Row547"/>
    <x v="3"/>
    <s v="Row87"/>
    <s v="Row9"/>
    <s v="243.49"/>
    <n v="2"/>
    <n v="0"/>
    <n v="0"/>
    <n v="6"/>
    <n v="2"/>
    <n v="0"/>
    <n v="0"/>
    <n v="0"/>
    <n v="0"/>
    <s v="608.73"/>
    <s v="22.6"/>
    <n v="22.6"/>
    <s v="586.13"/>
    <n v="1"/>
    <n v="0"/>
    <n v="6"/>
  </r>
  <r>
    <s v="Row725_Row148_Row3_Row126_Row52_Row4_Row1_Row2"/>
    <n v="726"/>
    <s v="RES000726"/>
    <s v="Row292"/>
    <x v="1"/>
    <s v="Row280"/>
    <s v="Row122"/>
    <x v="4"/>
    <s v="Row87"/>
    <s v="Row3"/>
    <s v="68.25"/>
    <n v="3"/>
    <n v="2"/>
    <n v="0"/>
    <n v="1"/>
    <n v="5"/>
    <n v="0"/>
    <n v="0"/>
    <n v="0"/>
    <n v="0"/>
    <s v="170.63"/>
    <s v="61.02"/>
    <n v="61.02"/>
    <s v="109.60999999999999"/>
    <n v="1"/>
    <n v="0"/>
    <n v="7"/>
  </r>
  <r>
    <s v="Row726_Row319_Row2_Row91_Row77_Row3_Row0_Row2"/>
    <n v="727"/>
    <s v="RES000727"/>
    <s v="Row712"/>
    <x v="2"/>
    <s v="Row194"/>
    <s v="Row197"/>
    <x v="5"/>
    <s v="Row0"/>
    <s v="Row3"/>
    <s v="977.46"/>
    <n v="3"/>
    <n v="0"/>
    <n v="0"/>
    <n v="2"/>
    <n v="3"/>
    <n v="0"/>
    <n v="0"/>
    <n v="1"/>
    <n v="1"/>
    <s v="488.73"/>
    <s v="255.95"/>
    <n v="255.95"/>
    <s v="232.78000000000003"/>
    <n v="1"/>
    <n v="1"/>
    <n v="8"/>
  </r>
  <r>
    <s v="Row727_Row99_Row0_Row54_Row109_Row1_Row0_Row0"/>
    <n v="728"/>
    <s v="RES000728"/>
    <s v="Row188"/>
    <x v="3"/>
    <s v="Row123"/>
    <s v="Row375"/>
    <x v="6"/>
    <s v="Row0"/>
    <s v="Row0"/>
    <s v="1796.6999999999998"/>
    <n v="3"/>
    <n v="1"/>
    <n v="0"/>
    <n v="3"/>
    <n v="4"/>
    <n v="0"/>
    <n v="0"/>
    <n v="1"/>
    <n v="1"/>
    <s v="598.9"/>
    <s v="229.39000000000001"/>
    <n v="229.39"/>
    <s v="369.51"/>
    <n v="1"/>
    <n v="1"/>
    <n v="9"/>
  </r>
  <r>
    <s v="Row728_Row358_Row1_Row228_Row86_Row0_Row0_Row3"/>
    <n v="729"/>
    <s v="RES000729"/>
    <s v="Row830"/>
    <x v="0"/>
    <s v="Row830"/>
    <s v="Row228"/>
    <x v="0"/>
    <s v="Row0"/>
    <s v="Row4"/>
    <s v="447.03"/>
    <n v="3"/>
    <n v="0"/>
    <n v="0"/>
    <n v="4"/>
    <n v="3"/>
    <n v="0"/>
    <n v="0"/>
    <n v="1"/>
    <n v="1"/>
    <s v="447.03"/>
    <s v="76.84"/>
    <n v="76.84"/>
    <s v="370.18999999999994"/>
    <n v="1"/>
    <n v="1"/>
    <n v="10"/>
  </r>
  <r>
    <s v="Row729_Row339_Row3_Row203_Row90_Row2_Row0_Row1"/>
    <n v="730"/>
    <s v="RES000730"/>
    <s v="Row771"/>
    <x v="1"/>
    <s v="Row579"/>
    <s v="Row254"/>
    <x v="1"/>
    <s v="Row0"/>
    <s v="Row2"/>
    <s v="1201.76"/>
    <n v="1"/>
    <n v="0"/>
    <n v="0"/>
    <n v="5"/>
    <n v="1"/>
    <n v="0"/>
    <n v="0"/>
    <n v="1"/>
    <n v="1"/>
    <s v="600.88"/>
    <s v="80.22999999999999"/>
    <n v="80.229999999999905"/>
    <s v="520.65"/>
    <n v="1"/>
    <n v="1"/>
    <n v="11"/>
  </r>
  <r>
    <s v="Row730_Row400_Row2_Row144_Row39_Row6_Row0_Row4"/>
    <n v="731"/>
    <s v="RES000731"/>
    <s v="Row961"/>
    <x v="2"/>
    <s v="Row339"/>
    <s v="Row92"/>
    <x v="2"/>
    <s v="Row0"/>
    <s v="Row9"/>
    <s v="2905.23"/>
    <n v="1"/>
    <n v="0"/>
    <n v="0"/>
    <n v="6"/>
    <n v="1"/>
    <n v="0"/>
    <n v="0"/>
    <n v="1"/>
    <n v="1"/>
    <s v="968.41"/>
    <s v="270.07"/>
    <n v="270.07"/>
    <s v="698.3399999999999"/>
    <n v="1"/>
    <n v="1"/>
    <n v="12"/>
  </r>
  <r>
    <s v="Row731_Row168_Row0_Row142_Row101_Row5_Row0_Row2"/>
    <n v="732"/>
    <s v="RES000732"/>
    <s v="Row336"/>
    <x v="3"/>
    <s v="Row336"/>
    <s v="Row336"/>
    <x v="3"/>
    <s v="Row0"/>
    <s v="Row3"/>
    <s v="170.63"/>
    <n v="1"/>
    <n v="2"/>
    <n v="1"/>
    <n v="1"/>
    <n v="4"/>
    <n v="0"/>
    <n v="0"/>
    <n v="1"/>
    <n v="1"/>
    <s v="170.63"/>
    <s v="47.46"/>
    <n v="47.46"/>
    <s v="123.16999999999999"/>
    <n v="1"/>
    <n v="1"/>
    <n v="13"/>
  </r>
  <r>
    <s v="Row732_Row25_Row1_Row216_Row113_Row4_Row0_Row0"/>
    <n v="733"/>
    <s v="RES000733"/>
    <s v="Row53"/>
    <x v="0"/>
    <s v="Row668"/>
    <s v="Row420"/>
    <x v="4"/>
    <s v="Row0"/>
    <s v="Row0"/>
    <s v="995.76"/>
    <n v="2"/>
    <n v="0"/>
    <n v="0"/>
    <n v="2"/>
    <n v="2"/>
    <n v="0"/>
    <n v="0"/>
    <n v="1"/>
    <n v="1"/>
    <s v="497.88"/>
    <s v="292.22"/>
    <n v="292.22000000000003"/>
    <s v="205.65999999999997"/>
    <n v="1"/>
    <n v="1"/>
    <n v="14"/>
  </r>
  <r>
    <s v="Row733_Row173_Row3_Row145_Row102_Row3_Row0_Row3"/>
    <n v="734"/>
    <s v="RES000734"/>
    <s v="Row345"/>
    <x v="1"/>
    <s v="Row345"/>
    <s v="Row345"/>
    <x v="5"/>
    <s v="Row0"/>
    <s v="Row4"/>
    <s v="1564.83"/>
    <n v="2"/>
    <n v="0"/>
    <n v="0"/>
    <n v="3"/>
    <n v="2"/>
    <n v="0"/>
    <n v="0"/>
    <n v="1"/>
    <n v="1"/>
    <s v="521.61"/>
    <s v="192.78"/>
    <n v="192.78"/>
    <s v="328.83000000000004"/>
    <n v="1"/>
    <n v="1"/>
    <n v="15"/>
  </r>
  <r>
    <s v="Row734_Row97_Row2_Row139_Row85_Row1_Row0_Row1"/>
    <n v="735"/>
    <s v="RES000735"/>
    <s v="Row184"/>
    <x v="2"/>
    <s v="Row329"/>
    <s v="Row220"/>
    <x v="6"/>
    <s v="Row0"/>
    <s v="Row2"/>
    <s v="459.01"/>
    <n v="2"/>
    <n v="0"/>
    <n v="0"/>
    <n v="4"/>
    <n v="2"/>
    <n v="0"/>
    <n v="0"/>
    <n v="1"/>
    <n v="1"/>
    <s v="459.01"/>
    <s v="63.28"/>
    <n v="63.28"/>
    <s v="395.73"/>
    <n v="1"/>
    <n v="1"/>
    <n v="16"/>
  </r>
  <r>
    <s v="Row735_Row167_Row0_Row146_Row10_Row0_Row0_Row4"/>
    <n v="736"/>
    <s v="RES000736"/>
    <s v="Row333"/>
    <x v="3"/>
    <s v="Row349"/>
    <s v="Row26"/>
    <x v="0"/>
    <s v="Row0"/>
    <s v="Row9"/>
    <s v="1365.04"/>
    <n v="3"/>
    <n v="1"/>
    <n v="0"/>
    <n v="5"/>
    <n v="4"/>
    <n v="0"/>
    <n v="0"/>
    <n v="1"/>
    <n v="1"/>
    <s v="682.52"/>
    <s v="66.67"/>
    <n v="66.67"/>
    <s v="615.85"/>
    <n v="1"/>
    <n v="1"/>
    <n v="17"/>
  </r>
  <r>
    <s v="Row736_Row305_Row1_Row208_Row14_Row2_Row0_Row2"/>
    <n v="737"/>
    <s v="RES000737"/>
    <s v="Row673"/>
    <x v="0"/>
    <s v="Row610"/>
    <s v="Row34"/>
    <x v="1"/>
    <s v="Row0"/>
    <s v="Row3"/>
    <s v="2661.1499999999996"/>
    <n v="3"/>
    <n v="0"/>
    <n v="0"/>
    <n v="6"/>
    <n v="3"/>
    <n v="0"/>
    <n v="0"/>
    <n v="1"/>
    <n v="1"/>
    <s v="887.05"/>
    <s v="270.07"/>
    <n v="270.07"/>
    <s v="616.98"/>
    <n v="1"/>
    <n v="1"/>
    <n v="18"/>
  </r>
  <r>
    <s v="Row737_Row139_Row3_Row78_Row25_Row6_Row0_Row0"/>
    <n v="738"/>
    <s v="RES000738"/>
    <s v="Row267"/>
    <x v="1"/>
    <s v="Row170"/>
    <s v="Row62"/>
    <x v="2"/>
    <s v="Row0"/>
    <s v="Row0"/>
    <s v="159.67"/>
    <n v="3"/>
    <n v="2"/>
    <n v="0"/>
    <n v="1"/>
    <n v="5"/>
    <n v="0"/>
    <n v="0"/>
    <n v="1"/>
    <n v="1"/>
    <s v="159.67"/>
    <s v="61.02"/>
    <n v="61.02"/>
    <s v="98.64999999999998"/>
    <n v="1"/>
    <n v="1"/>
    <n v="19"/>
  </r>
  <r>
    <s v="Row738_Row245_Row2_Row231_Row83_Row5_Row0_Row3"/>
    <n v="739"/>
    <s v="RES000739"/>
    <s v="Row519"/>
    <x v="2"/>
    <s v="Row851"/>
    <s v="Row212"/>
    <x v="3"/>
    <s v="Row0"/>
    <s v="Row4"/>
    <s v="1014.74"/>
    <n v="3"/>
    <n v="0"/>
    <n v="0"/>
    <n v="2"/>
    <n v="3"/>
    <n v="0"/>
    <n v="0"/>
    <n v="1"/>
    <n v="1"/>
    <s v="507.37"/>
    <s v="274.59"/>
    <n v="274.58999999999997"/>
    <s v="232.78000000000003"/>
    <n v="1"/>
    <n v="1"/>
    <n v="20"/>
  </r>
  <r>
    <s v="Row739_Row28_Row0_Row29_Row114_Row4_Row0_Row1"/>
    <n v="740"/>
    <s v="RES000740"/>
    <s v="Row61"/>
    <x v="3"/>
    <s v="Row71"/>
    <s v="Row444"/>
    <x v="4"/>
    <s v="Row0"/>
    <s v="Row2"/>
    <s v="1718.22"/>
    <n v="1"/>
    <n v="1"/>
    <n v="0"/>
    <n v="3"/>
    <n v="2"/>
    <n v="0"/>
    <n v="0"/>
    <n v="1"/>
    <n v="1"/>
    <s v="572.74"/>
    <s v="221.71"/>
    <n v="221.71"/>
    <s v="351.03"/>
    <n v="1"/>
    <n v="1"/>
    <n v="21"/>
  </r>
  <r>
    <s v="Row740_Row539_Row1_Row273_Row135_Row3_Row2_Row5"/>
    <n v="741"/>
    <s v="RES000741"/>
    <s v="Row1396"/>
    <x v="0"/>
    <s v="Row1396"/>
    <s v="Row1357"/>
    <x v="5"/>
    <s v="Row1350"/>
    <s v="Row1350"/>
    <s v="0"/>
    <n v="1"/>
    <n v="0"/>
    <n v="0"/>
    <n v="4"/>
    <n v="1"/>
    <n v="1"/>
    <n v="0"/>
    <n v="0"/>
    <n v="0"/>
    <s v="691.56"/>
    <n v="0"/>
    <n v="0"/>
    <s v="691.56"/>
    <n v="1"/>
    <n v="0"/>
    <n v="22"/>
  </r>
  <r>
    <s v="Row741_Row579_Row3_Row254_Row150_Row1_Row2_Row5"/>
    <n v="742"/>
    <s v="RES000742"/>
    <s v="Row1448"/>
    <x v="1"/>
    <s v="Row1366"/>
    <s v="Row1384"/>
    <x v="6"/>
    <s v="Row1350"/>
    <s v="Row1350"/>
    <s v="0"/>
    <n v="1"/>
    <n v="0"/>
    <n v="0"/>
    <n v="5"/>
    <n v="1"/>
    <n v="1"/>
    <n v="0"/>
    <n v="0"/>
    <n v="0"/>
    <s v="909.65"/>
    <n v="0"/>
    <n v="0"/>
    <s v="909.65"/>
    <n v="1"/>
    <n v="0"/>
    <n v="23"/>
  </r>
  <r>
    <s v="Row742_Row544_Row2_Row264_Row159_Row0_Row2_Row5"/>
    <n v="743"/>
    <s v="RES000743"/>
    <s v="Row1402"/>
    <x v="2"/>
    <s v="Row1379"/>
    <s v="Row1487"/>
    <x v="0"/>
    <s v="Row1350"/>
    <s v="Row1350"/>
    <s v="0"/>
    <n v="2"/>
    <n v="0"/>
    <n v="0"/>
    <n v="6"/>
    <n v="2"/>
    <n v="1"/>
    <n v="0"/>
    <n v="0"/>
    <n v="0"/>
    <s v="1145.82"/>
    <n v="0"/>
    <n v="0"/>
    <s v="1145.82"/>
    <n v="1"/>
    <n v="0"/>
    <n v="24"/>
  </r>
  <r>
    <s v="Row743_Row572_Row0_Row272_Row129_Row2_Row3_Row5"/>
    <n v="744"/>
    <s v="RES000744"/>
    <s v="Row1437"/>
    <x v="3"/>
    <s v="Row1395"/>
    <s v="Row1351"/>
    <x v="1"/>
    <s v="Row1351"/>
    <s v="Row1350"/>
    <s v="0"/>
    <n v="2"/>
    <n v="2"/>
    <n v="1"/>
    <n v="1"/>
    <n v="5"/>
    <n v="0"/>
    <n v="1"/>
    <n v="0"/>
    <n v="0"/>
    <s v="200.01"/>
    <n v="0"/>
    <n v="0"/>
    <s v="200.01"/>
    <n v="1"/>
    <n v="0"/>
    <n v="25"/>
  </r>
  <r>
    <s v="Row744_Row62_Row1_Row56_Row54_Row6_Row1_Row2"/>
    <n v="745"/>
    <s v="RES000745"/>
    <s v="Row127"/>
    <x v="0"/>
    <s v="Row127"/>
    <s v="Row127"/>
    <x v="2"/>
    <s v="Row87"/>
    <s v="Row3"/>
    <s v="214.11"/>
    <n v="2"/>
    <n v="0"/>
    <n v="0"/>
    <n v="2"/>
    <n v="2"/>
    <n v="0"/>
    <n v="0"/>
    <n v="0"/>
    <n v="0"/>
    <s v="535.28"/>
    <s v="206.79"/>
    <n v="206.79"/>
    <s v="328.49"/>
    <n v="1"/>
    <n v="0"/>
    <n v="26"/>
  </r>
  <r>
    <s v="Row745_Row143_Row3_Row195_Row35_Row5_Row1_Row0"/>
    <n v="746"/>
    <s v="RES000746"/>
    <s v="Row280"/>
    <x v="1"/>
    <s v="Row557"/>
    <s v="Row87"/>
    <x v="3"/>
    <s v="Row87"/>
    <s v="Row0"/>
    <s v="256.28"/>
    <n v="3"/>
    <n v="0"/>
    <n v="0"/>
    <n v="3"/>
    <n v="3"/>
    <n v="0"/>
    <n v="0"/>
    <n v="0"/>
    <n v="0"/>
    <s v="640.71"/>
    <s v="94.92"/>
    <n v="94.92"/>
    <s v="545.7900000000001"/>
    <n v="1"/>
    <n v="0"/>
    <n v="27"/>
  </r>
  <r>
    <s v="Row746_Row68_Row2_Row61_Row57_Row4_Row0_Row0"/>
    <n v="747"/>
    <s v="RES000747"/>
    <s v="Row139"/>
    <x v="2"/>
    <s v="Row139"/>
    <s v="Row139"/>
    <x v="4"/>
    <s v="Row0"/>
    <s v="Row0"/>
    <s v="750.77"/>
    <n v="3"/>
    <n v="0"/>
    <n v="0"/>
    <n v="4"/>
    <n v="3"/>
    <n v="0"/>
    <n v="0"/>
    <n v="1"/>
    <n v="1"/>
    <s v="750.77"/>
    <s v="63.28"/>
    <n v="63.28"/>
    <s v="687.49"/>
    <n v="1"/>
    <n v="1"/>
    <n v="28"/>
  </r>
  <r>
    <s v="Row747_Row60_Row0_Row136_Row55_Row3_Row0_Row3"/>
    <n v="748"/>
    <s v="RES000748"/>
    <s v="Row123"/>
    <x v="3"/>
    <s v="Row324"/>
    <s v="Row132"/>
    <x v="5"/>
    <s v="Row0"/>
    <s v="Row4"/>
    <s v="2124.62"/>
    <n v="3"/>
    <n v="1"/>
    <n v="0"/>
    <n v="5"/>
    <n v="4"/>
    <n v="0"/>
    <n v="0"/>
    <n v="1"/>
    <n v="1"/>
    <s v="1062.31"/>
    <s v="62.26"/>
    <n v="62.26"/>
    <s v="1000.05"/>
    <n v="1"/>
    <n v="1"/>
    <n v="29"/>
  </r>
  <r>
    <s v="Row748_Row322_Row1_Row153_Row76_Row1_Row0_Row1"/>
    <n v="749"/>
    <s v="RES000749"/>
    <s v="Row718"/>
    <x v="0"/>
    <s v="Row367"/>
    <s v="Row192"/>
    <x v="6"/>
    <s v="Row0"/>
    <s v="Row2"/>
    <s v="3922.2300000000005"/>
    <n v="3"/>
    <n v="0"/>
    <n v="0"/>
    <n v="6"/>
    <n v="3"/>
    <n v="0"/>
    <n v="0"/>
    <n v="1"/>
    <n v="1"/>
    <s v="1307.41"/>
    <s v="270.07"/>
    <n v="270.07"/>
    <s v="1037.3400000000001"/>
    <n v="1"/>
    <n v="1"/>
    <n v="30"/>
  </r>
  <r>
    <s v="Row749_Row73_Row3_Row65_Row61_Row0_Row0_Row4"/>
    <n v="750"/>
    <s v="RES000750"/>
    <s v="Row145"/>
    <x v="1"/>
    <s v="Row145"/>
    <s v="Row145"/>
    <x v="0"/>
    <s v="Row0"/>
    <s v="Row9"/>
    <s v="215.66"/>
    <n v="1"/>
    <n v="2"/>
    <n v="0"/>
    <n v="1"/>
    <n v="3"/>
    <n v="0"/>
    <n v="0"/>
    <n v="1"/>
    <n v="1"/>
    <s v="215.66"/>
    <s v="61.02"/>
    <n v="61.02"/>
    <s v="154.64"/>
    <n v="1"/>
    <n v="1"/>
    <n v="31"/>
  </r>
  <r>
    <s v="Row750_Row258_Row2_Row234_Row13_Row2_Row0_Row2"/>
    <n v="751"/>
    <s v="RES000751"/>
    <s v="Row548"/>
    <x v="2"/>
    <s v="Row885"/>
    <s v="Row32"/>
    <x v="1"/>
    <s v="Row0"/>
    <s v="Row3"/>
    <s v="1313.06"/>
    <n v="1"/>
    <n v="0"/>
    <n v="0"/>
    <n v="2"/>
    <n v="1"/>
    <n v="0"/>
    <n v="0"/>
    <n v="1"/>
    <n v="1"/>
    <s v="656.53"/>
    <s v="274.59"/>
    <n v="274.58999999999997"/>
    <s v="381.94"/>
    <n v="1"/>
    <n v="1"/>
    <n v="32"/>
  </r>
  <r>
    <s v="Row751_Row232_Row0_Row57_Row126_Row6_Row0_Row0"/>
    <n v="752"/>
    <s v="RES000752"/>
    <s v="Row486"/>
    <x v="3"/>
    <s v="Row128"/>
    <s v="Row646"/>
    <x v="2"/>
    <s v="Row0"/>
    <s v="Row0"/>
    <s v="2488.2599999999998"/>
    <n v="1"/>
    <n v="1"/>
    <n v="0"/>
    <n v="3"/>
    <n v="2"/>
    <n v="0"/>
    <n v="0"/>
    <n v="1"/>
    <n v="1"/>
    <s v="829.42"/>
    <s v="229.39000000000001"/>
    <n v="229.39"/>
    <s v="600.03"/>
    <n v="1"/>
    <n v="1"/>
    <n v="33"/>
  </r>
  <r>
    <s v="Row752_Row289_Row1_Row63_Row1_Row5_Row0_Row3"/>
    <n v="753"/>
    <s v="RES000753"/>
    <s v="Row640"/>
    <x v="0"/>
    <s v="Row141"/>
    <s v="Row2"/>
    <x v="3"/>
    <s v="Row0"/>
    <s v="Row4"/>
    <s v="768.4"/>
    <n v="2"/>
    <n v="0"/>
    <n v="0"/>
    <n v="4"/>
    <n v="2"/>
    <n v="0"/>
    <n v="0"/>
    <n v="1"/>
    <n v="1"/>
    <s v="768.4"/>
    <s v="76.84"/>
    <n v="76.84"/>
    <s v="691.56"/>
    <n v="1"/>
    <n v="1"/>
    <n v="34"/>
  </r>
  <r>
    <s v="Row753_Row236_Row3_Row133_Row118_Row4_Row0_Row1"/>
    <n v="754"/>
    <s v="RES000754"/>
    <s v="Row497"/>
    <x v="1"/>
    <s v="Row316"/>
    <s v="Row495"/>
    <x v="4"/>
    <s v="Row0"/>
    <s v="Row2"/>
    <s v="1976.6"/>
    <n v="2"/>
    <n v="0"/>
    <n v="0"/>
    <n v="5"/>
    <n v="2"/>
    <n v="0"/>
    <n v="0"/>
    <n v="1"/>
    <n v="1"/>
    <s v="988.3"/>
    <s v="78.64999999999999"/>
    <n v="78.649999999999906"/>
    <s v="909.65"/>
    <n v="1"/>
    <n v="1"/>
    <n v="35"/>
  </r>
  <r>
    <s v="Row754_Row423_Row2_Row174_Row75_Row3_Row0_Row4"/>
    <n v="755"/>
    <s v="RES000755"/>
    <s v="Row1030"/>
    <x v="2"/>
    <s v="Row432"/>
    <s v="Row184"/>
    <x v="5"/>
    <s v="Row0"/>
    <s v="Row9"/>
    <s v="4071.06"/>
    <n v="2"/>
    <n v="0"/>
    <n v="0"/>
    <n v="6"/>
    <n v="2"/>
    <n v="0"/>
    <n v="0"/>
    <n v="1"/>
    <n v="1"/>
    <s v="1357.02"/>
    <s v="268.49"/>
    <n v="268.49"/>
    <s v="1088.53"/>
    <n v="1"/>
    <n v="1"/>
    <n v="36"/>
  </r>
  <r>
    <s v="Row755_Row150_Row0_Row128_Row46_Row1_Row0_Row2"/>
    <n v="756"/>
    <s v="RES000756"/>
    <s v="Row299"/>
    <x v="3"/>
    <s v="Row299"/>
    <s v="Row107"/>
    <x v="6"/>
    <s v="Row0"/>
    <s v="Row3"/>
    <s v="227.47"/>
    <n v="3"/>
    <n v="2"/>
    <n v="1"/>
    <n v="1"/>
    <n v="6"/>
    <n v="0"/>
    <n v="0"/>
    <n v="1"/>
    <n v="1"/>
    <s v="227.47"/>
    <s v="47.46"/>
    <n v="47.46"/>
    <s v="180.01"/>
    <n v="1"/>
    <n v="1"/>
    <n v="37"/>
  </r>
  <r>
    <s v="Row756_Row282_Row1_Row207_Row127_Row0_Row0_Row0"/>
    <n v="757"/>
    <s v="RES000757"/>
    <s v="Row610"/>
    <x v="0"/>
    <s v="Row593"/>
    <s v="Row673"/>
    <x v="0"/>
    <s v="Row0"/>
    <s v="Row0"/>
    <s v="1294.98"/>
    <n v="3"/>
    <n v="0"/>
    <n v="0"/>
    <n v="2"/>
    <n v="3"/>
    <n v="0"/>
    <n v="0"/>
    <n v="1"/>
    <n v="1"/>
    <s v="647.49"/>
    <s v="301.71"/>
    <n v="301.70999999999998"/>
    <s v="345.78000000000003"/>
    <n v="1"/>
    <n v="1"/>
    <n v="38"/>
  </r>
  <r>
    <s v="Row757_Row7_Row3_Row6_Row7_Row2_Row0_Row3"/>
    <n v="758"/>
    <s v="RES000758"/>
    <s v="Row15"/>
    <x v="1"/>
    <s v="Row15"/>
    <s v="Row15"/>
    <x v="1"/>
    <s v="Row0"/>
    <s v="Row4"/>
    <s v="2244.18"/>
    <n v="3"/>
    <n v="0"/>
    <n v="0"/>
    <n v="3"/>
    <n v="3"/>
    <n v="0"/>
    <n v="0"/>
    <n v="1"/>
    <n v="1"/>
    <s v="748.06"/>
    <s v="202.26999999999998"/>
    <n v="202.26999999999899"/>
    <s v="545.79"/>
    <n v="1"/>
    <n v="1"/>
    <n v="39"/>
  </r>
  <r>
    <s v="Row758_Row396_Row2_Row204_Row119_Row6_Row0_Row1"/>
    <n v="759"/>
    <s v="RES000759"/>
    <s v="Row950"/>
    <x v="2"/>
    <s v="Row587"/>
    <s v="Row519"/>
    <x v="2"/>
    <s v="Row0"/>
    <s v="Row2"/>
    <s v="827.16"/>
    <n v="3"/>
    <n v="0"/>
    <n v="0"/>
    <n v="4"/>
    <n v="3"/>
    <n v="0"/>
    <n v="0"/>
    <n v="1"/>
    <n v="1"/>
    <s v="827.16"/>
    <s v="63.28"/>
    <n v="63.28"/>
    <s v="763.88"/>
    <n v="1"/>
    <n v="1"/>
    <n v="40"/>
  </r>
  <r>
    <s v="Row759_Row281_Row0_Row33_Row24_Row5_Row0_Row4"/>
    <n v="760"/>
    <s v="RES000760"/>
    <s v="Row604"/>
    <x v="3"/>
    <s v="Row80"/>
    <s v="Row61"/>
    <x v="3"/>
    <s v="Row0"/>
    <s v="Row9"/>
    <s v="2033.44"/>
    <n v="1"/>
    <n v="1"/>
    <n v="0"/>
    <n v="5"/>
    <n v="2"/>
    <n v="0"/>
    <n v="0"/>
    <n v="1"/>
    <n v="1"/>
    <s v="1016.72"/>
    <s v="66.67"/>
    <n v="66.67"/>
    <s v="950.0500000000001"/>
    <n v="1"/>
    <n v="1"/>
    <n v="41"/>
  </r>
  <r>
    <s v="Row760_Row590_Row1_Row284_Row130_Row4_Row2_Row5"/>
    <n v="761"/>
    <s v="RES000761"/>
    <s v="Row1466"/>
    <x v="0"/>
    <s v="Row1415"/>
    <s v="Row1352"/>
    <x v="4"/>
    <s v="Row1350"/>
    <s v="Row1350"/>
    <s v="0"/>
    <n v="1"/>
    <n v="0"/>
    <n v="0"/>
    <n v="6"/>
    <n v="1"/>
    <n v="1"/>
    <n v="0"/>
    <n v="0"/>
    <n v="0"/>
    <s v="1037.34"/>
    <n v="0"/>
    <n v="0"/>
    <s v="1037.34"/>
    <n v="1"/>
    <n v="0"/>
    <n v="42"/>
  </r>
  <r>
    <s v="Row761_Row512_Row3_Row283_Row145_Row3_Row2_Row5"/>
    <n v="762"/>
    <s v="RES000762"/>
    <s v="Row1366"/>
    <x v="1"/>
    <s v="Row1413"/>
    <s v="Row1371"/>
    <x v="5"/>
    <s v="Row1350"/>
    <s v="Row1350"/>
    <s v="0"/>
    <n v="1"/>
    <n v="2"/>
    <n v="0"/>
    <n v="1"/>
    <n v="3"/>
    <n v="1"/>
    <n v="0"/>
    <n v="0"/>
    <n v="0"/>
    <s v="181.93"/>
    <n v="0"/>
    <n v="0"/>
    <s v="181.93"/>
    <n v="1"/>
    <n v="0"/>
    <n v="43"/>
  </r>
  <r>
    <s v="Row762_Row519_Row2_Row261_Row148_Row1_Row2_Row5"/>
    <n v="763"/>
    <s v="RES000763"/>
    <s v="Row1374"/>
    <x v="2"/>
    <s v="Row1374"/>
    <s v="Row1374"/>
    <x v="6"/>
    <s v="Row1350"/>
    <s v="Row1350"/>
    <s v="0"/>
    <n v="2"/>
    <n v="0"/>
    <n v="0"/>
    <n v="2"/>
    <n v="2"/>
    <n v="1"/>
    <n v="0"/>
    <n v="0"/>
    <n v="0"/>
    <s v="381.94"/>
    <n v="0"/>
    <n v="0"/>
    <s v="381.94"/>
    <n v="1"/>
    <n v="0"/>
    <n v="44"/>
  </r>
  <r>
    <s v="Row763_Row588_Row0_Row288_Row144_Row0_Row3_Row5"/>
    <n v="764"/>
    <s v="RES000764"/>
    <s v="Row1463"/>
    <x v="3"/>
    <s v="Row1425"/>
    <s v="Row1370"/>
    <x v="0"/>
    <s v="Row1351"/>
    <s v="Row1350"/>
    <s v="0"/>
    <n v="2"/>
    <n v="1"/>
    <n v="0"/>
    <n v="3"/>
    <n v="3"/>
    <n v="0"/>
    <n v="1"/>
    <n v="0"/>
    <n v="0"/>
    <s v="600.03"/>
    <n v="0"/>
    <n v="0"/>
    <s v="600.03"/>
    <n v="1"/>
    <n v="0"/>
    <n v="45"/>
  </r>
  <r>
    <s v="Row764_Row342_Row1_Row233_Row47_Row2_Row1_Row0"/>
    <n v="765"/>
    <s v="RES000765"/>
    <s v="Row791"/>
    <x v="0"/>
    <s v="Row881"/>
    <s v="Row110"/>
    <x v="1"/>
    <s v="Row87"/>
    <s v="Row0"/>
    <s v="265.87"/>
    <n v="2"/>
    <n v="0"/>
    <n v="0"/>
    <n v="4"/>
    <n v="2"/>
    <n v="0"/>
    <n v="0"/>
    <n v="0"/>
    <n v="0"/>
    <s v="664.67"/>
    <s v="76.84"/>
    <n v="76.84"/>
    <s v="587.8299999999999"/>
    <n v="1"/>
    <n v="0"/>
    <n v="46"/>
  </r>
  <r>
    <s v="Row765_Row311_Row3_Row221_Row95_Row6_Row1_Row3"/>
    <n v="766"/>
    <s v="RES000766"/>
    <s v="Row692"/>
    <x v="1"/>
    <s v="Row692"/>
    <s v="Row280"/>
    <x v="2"/>
    <s v="Row87"/>
    <s v="Row4"/>
    <s v="389.62"/>
    <n v="3"/>
    <n v="0"/>
    <n v="0"/>
    <n v="5"/>
    <n v="3"/>
    <n v="0"/>
    <n v="0"/>
    <n v="0"/>
    <n v="0"/>
    <s v="974.06"/>
    <s v="64.41"/>
    <n v="64.41"/>
    <s v="909.65"/>
    <n v="1"/>
    <n v="0"/>
    <n v="47"/>
  </r>
  <r>
    <s v="Row766_Row249_Row2_Row237_Row71_Row5_Row0_Row3"/>
    <n v="767"/>
    <s v="RES000767"/>
    <s v="Row526"/>
    <x v="2"/>
    <s v="Row913"/>
    <s v="Row168"/>
    <x v="3"/>
    <s v="Row0"/>
    <s v="Row4"/>
    <s v="4185.63"/>
    <n v="3"/>
    <n v="0"/>
    <n v="0"/>
    <n v="6"/>
    <n v="3"/>
    <n v="0"/>
    <n v="0"/>
    <n v="1"/>
    <n v="1"/>
    <s v="1395.21"/>
    <s v="249.39000000000001"/>
    <n v="249.39"/>
    <s v="1145.82"/>
    <n v="1"/>
    <n v="1"/>
    <n v="48"/>
  </r>
  <r>
    <s v="Row767_Row181_Row0_Row151_Row53_Row4_Row0_Row1"/>
    <n v="768"/>
    <s v="RES000768"/>
    <s v="Row362"/>
    <x v="3"/>
    <s v="Row362"/>
    <s v="Row123"/>
    <x v="4"/>
    <s v="Row0"/>
    <s v="Row2"/>
    <s v="247.47"/>
    <n v="3"/>
    <n v="2"/>
    <n v="1"/>
    <n v="1"/>
    <n v="6"/>
    <n v="0"/>
    <n v="0"/>
    <n v="1"/>
    <n v="1"/>
    <s v="247.47"/>
    <s v="47.46"/>
    <n v="47.46"/>
    <s v="200.01"/>
    <n v="1"/>
    <n v="1"/>
    <n v="49"/>
  </r>
  <r>
    <s v="Row768_Row39_Row1_Row35_Row34_Row3_Row0_Row4"/>
    <n v="769"/>
    <s v="RES000769"/>
    <s v="Row85"/>
    <x v="0"/>
    <s v="Row85"/>
    <s v="Row85"/>
    <x v="5"/>
    <s v="Row0"/>
    <s v="Row9"/>
    <s v="1253.62"/>
    <n v="3"/>
    <n v="0"/>
    <n v="0"/>
    <n v="2"/>
    <n v="3"/>
    <n v="0"/>
    <n v="0"/>
    <n v="1"/>
    <n v="1"/>
    <s v="626.81"/>
    <s v="281.03000000000003"/>
    <n v="281.02999999999997"/>
    <s v="345.7799999999999"/>
    <n v="1"/>
    <n v="1"/>
    <n v="50"/>
  </r>
  <r>
    <s v="Row769_Row13_Row3_Row12_Row12_Row1_Row0_Row2"/>
    <n v="770"/>
    <s v="RES000770"/>
    <s v="Row29"/>
    <x v="1"/>
    <s v="Row29"/>
    <s v="Row29"/>
    <x v="6"/>
    <s v="Row0"/>
    <s v="Row3"/>
    <s v="2162.31"/>
    <n v="1"/>
    <n v="0"/>
    <n v="0"/>
    <n v="3"/>
    <n v="1"/>
    <n v="0"/>
    <n v="0"/>
    <n v="1"/>
    <n v="1"/>
    <s v="720.77"/>
    <s v="202.26999999999998"/>
    <n v="202.26999999999899"/>
    <s v="518.5"/>
    <n v="1"/>
    <n v="1"/>
    <n v="51"/>
  </r>
  <r>
    <s v="Row770_Row373_Row2_Row236_Row116_Row0_Row0_Row0"/>
    <n v="771"/>
    <s v="RES000771"/>
    <s v="Row885"/>
    <x v="2"/>
    <s v="Row907"/>
    <s v="Row459"/>
    <x v="0"/>
    <s v="Row0"/>
    <s v="Row0"/>
    <s v="827.16"/>
    <n v="1"/>
    <n v="0"/>
    <n v="0"/>
    <n v="4"/>
    <n v="1"/>
    <n v="0"/>
    <n v="0"/>
    <n v="1"/>
    <n v="1"/>
    <s v="827.16"/>
    <s v="63.28"/>
    <n v="63.28"/>
    <s v="763.88"/>
    <n v="1"/>
    <n v="1"/>
    <n v="52"/>
  </r>
  <r>
    <s v="Row771_Row63_Row0_Row105_Row11_Row2_Row0_Row3"/>
    <n v="772"/>
    <s v="RES000772"/>
    <s v="Row128"/>
    <x v="3"/>
    <s v="Row226"/>
    <s v="Row27"/>
    <x v="1"/>
    <s v="Row0"/>
    <s v="Row4"/>
    <s v="2133.44"/>
    <n v="1"/>
    <n v="1"/>
    <n v="0"/>
    <n v="5"/>
    <n v="2"/>
    <n v="0"/>
    <n v="0"/>
    <n v="1"/>
    <n v="1"/>
    <s v="1066.72"/>
    <s v="66.67"/>
    <n v="66.67"/>
    <s v="1000.0500000000001"/>
    <n v="1"/>
    <n v="1"/>
    <n v="53"/>
  </r>
  <r>
    <s v="Row772_Row107_Row1_Row21_Row59_Row6_Row0_Row1"/>
    <n v="773"/>
    <s v="RES000773"/>
    <s v="Row204"/>
    <x v="0"/>
    <s v="Row48"/>
    <s v="Row141"/>
    <x v="2"/>
    <s v="Row0"/>
    <s v="Row2"/>
    <s v="3922.2300000000005"/>
    <n v="2"/>
    <n v="0"/>
    <n v="0"/>
    <n v="6"/>
    <n v="2"/>
    <n v="0"/>
    <n v="0"/>
    <n v="1"/>
    <n v="1"/>
    <s v="1307.41"/>
    <s v="270.07"/>
    <n v="270.07"/>
    <s v="1037.3400000000001"/>
    <n v="1"/>
    <n v="1"/>
    <n v="54"/>
  </r>
  <r>
    <s v="Row773_Row157_Row3_Row134_Row69_Row5_Row0_Row4"/>
    <n v="774"/>
    <s v="RES000774"/>
    <s v="Row316"/>
    <x v="1"/>
    <s v="Row320"/>
    <s v="Row166"/>
    <x v="3"/>
    <s v="Row0"/>
    <s v="Row9"/>
    <s v="224.76"/>
    <n v="2"/>
    <n v="2"/>
    <n v="0"/>
    <n v="1"/>
    <n v="4"/>
    <n v="0"/>
    <n v="0"/>
    <n v="1"/>
    <n v="1"/>
    <s v="224.76"/>
    <s v="61.02"/>
    <n v="61.02"/>
    <s v="163.73999999999998"/>
    <n v="1"/>
    <n v="1"/>
    <n v="55"/>
  </r>
  <r>
    <s v="Row774_Row20_Row2_Row19_Row19_Row4_Row0_Row2"/>
    <n v="775"/>
    <s v="RES000775"/>
    <s v="Row45"/>
    <x v="2"/>
    <s v="Row45"/>
    <s v="Row45"/>
    <x v="4"/>
    <s v="Row0"/>
    <s v="Row3"/>
    <s v="1257.24"/>
    <n v="2"/>
    <n v="0"/>
    <n v="0"/>
    <n v="2"/>
    <n v="2"/>
    <n v="0"/>
    <n v="0"/>
    <n v="1"/>
    <n v="1"/>
    <s v="628.62"/>
    <s v="265.78"/>
    <n v="265.77999999999997"/>
    <s v="362.84000000000003"/>
    <n v="1"/>
    <n v="1"/>
    <n v="56"/>
  </r>
  <r>
    <s v="Row775_Row301_Row0_Row9_Row88_Row3_Row0_Row0"/>
    <n v="776"/>
    <s v="RES000776"/>
    <s v="Row664"/>
    <x v="3"/>
    <s v="Row23"/>
    <s v="Row234"/>
    <x v="5"/>
    <s v="Row0"/>
    <s v="Row0"/>
    <s v="2461.83"/>
    <n v="3"/>
    <n v="1"/>
    <n v="0"/>
    <n v="3"/>
    <n v="4"/>
    <n v="0"/>
    <n v="0"/>
    <n v="1"/>
    <n v="1"/>
    <s v="820.61"/>
    <s v="220.58"/>
    <n v="220.58"/>
    <s v="600.03"/>
    <n v="1"/>
    <n v="1"/>
    <n v="57"/>
  </r>
  <r>
    <s v="Row776_Row69_Row1_Row62_Row58_Row1_Row0_Row3"/>
    <n v="777"/>
    <s v="RES000777"/>
    <s v="Row140"/>
    <x v="0"/>
    <s v="Row140"/>
    <s v="Row140"/>
    <x v="6"/>
    <s v="Row0"/>
    <s v="Row4"/>
    <s v="768.4"/>
    <n v="3"/>
    <n v="0"/>
    <n v="0"/>
    <n v="4"/>
    <n v="3"/>
    <n v="0"/>
    <n v="0"/>
    <n v="1"/>
    <n v="1"/>
    <s v="768.4"/>
    <s v="76.84"/>
    <n v="76.84"/>
    <s v="691.56"/>
    <n v="1"/>
    <n v="1"/>
    <n v="58"/>
  </r>
  <r>
    <s v="Row777_Row109_Row3_Row98_Row81_Row0_Row0_Row1"/>
    <n v="778"/>
    <s v="RES000778"/>
    <s v="Row206"/>
    <x v="1"/>
    <s v="Row206"/>
    <s v="Row206"/>
    <x v="0"/>
    <s v="Row0"/>
    <s v="Row2"/>
    <s v="1979.76"/>
    <n v="3"/>
    <n v="0"/>
    <n v="0"/>
    <n v="5"/>
    <n v="3"/>
    <n v="0"/>
    <n v="0"/>
    <n v="1"/>
    <n v="1"/>
    <s v="989.88"/>
    <s v="80.22999999999999"/>
    <n v="80.229999999999905"/>
    <s v="909.65"/>
    <n v="1"/>
    <n v="1"/>
    <n v="59"/>
  </r>
  <r>
    <s v="Row778_Row341_Row2_Row131_Row124_Row2_Row0_Row4"/>
    <n v="779"/>
    <s v="RES000779"/>
    <s v="Row785"/>
    <x v="2"/>
    <s v="Row309"/>
    <s v="Row587"/>
    <x v="1"/>
    <s v="Row0"/>
    <s v="Row9"/>
    <s v="4247.67"/>
    <n v="3"/>
    <n v="0"/>
    <n v="0"/>
    <n v="6"/>
    <n v="3"/>
    <n v="0"/>
    <n v="0"/>
    <n v="1"/>
    <n v="1"/>
    <s v="1415.89"/>
    <s v="270.07"/>
    <n v="270.07"/>
    <s v="1145.8200000000002"/>
    <n v="1"/>
    <n v="1"/>
    <n v="60"/>
  </r>
  <r>
    <s v="Row779_Row36_Row0_Row147_Row106_Row6_Row0_Row2"/>
    <n v="780"/>
    <s v="RES000780"/>
    <s v="Row80"/>
    <x v="3"/>
    <s v="Row351"/>
    <s v="Row361"/>
    <x v="2"/>
    <s v="Row0"/>
    <s v="Row3"/>
    <s v="217.47"/>
    <n v="1"/>
    <n v="2"/>
    <n v="1"/>
    <n v="1"/>
    <n v="4"/>
    <n v="0"/>
    <n v="0"/>
    <n v="1"/>
    <n v="1"/>
    <s v="217.47"/>
    <s v="47.46"/>
    <n v="47.46"/>
    <s v="170.01"/>
    <n v="1"/>
    <n v="1"/>
    <n v="61"/>
  </r>
  <r>
    <s v="Row780_Row537_Row1_Row271_Row154_Row5_Row2_Row5"/>
    <n v="781"/>
    <s v="RES000781"/>
    <s v="Row1394"/>
    <x v="0"/>
    <s v="Row1394"/>
    <s v="Row1394"/>
    <x v="3"/>
    <s v="Row1350"/>
    <s v="Row1350"/>
    <s v="0"/>
    <n v="1"/>
    <n v="0"/>
    <n v="0"/>
    <n v="2"/>
    <n v="1"/>
    <n v="1"/>
    <n v="0"/>
    <n v="0"/>
    <n v="0"/>
    <s v="429.4"/>
    <n v="0"/>
    <n v="0"/>
    <s v="429.4"/>
    <n v="1"/>
    <n v="0"/>
    <n v="62"/>
  </r>
  <r>
    <s v="Row781_Row551_Row3_Row277_Row143_Row4_Row2_Row5"/>
    <n v="782"/>
    <s v="RES000782"/>
    <s v="Row1409"/>
    <x v="1"/>
    <s v="Row1400"/>
    <s v="Row1366"/>
    <x v="4"/>
    <s v="Row1350"/>
    <s v="Row1350"/>
    <s v="0"/>
    <n v="1"/>
    <n v="0"/>
    <n v="0"/>
    <n v="3"/>
    <n v="1"/>
    <n v="1"/>
    <n v="0"/>
    <n v="0"/>
    <n v="0"/>
    <n v="678"/>
    <n v="0"/>
    <n v="0"/>
    <n v="678"/>
    <n v="1"/>
    <n v="0"/>
    <n v="63"/>
  </r>
  <r>
    <s v="Row782_Row529_Row2_Row293_Row149_Row3_Row2_Row5"/>
    <n v="783"/>
    <s v="RES000783"/>
    <s v="Row1386"/>
    <x v="2"/>
    <s v="Row1438"/>
    <s v="Row1379"/>
    <x v="5"/>
    <s v="Row1350"/>
    <s v="Row1350"/>
    <s v="0"/>
    <n v="2"/>
    <n v="0"/>
    <n v="0"/>
    <n v="4"/>
    <n v="2"/>
    <n v="1"/>
    <n v="0"/>
    <n v="0"/>
    <n v="0"/>
    <s v="854.28"/>
    <n v="0"/>
    <n v="0"/>
    <s v="854.28"/>
    <n v="1"/>
    <n v="0"/>
    <n v="64"/>
  </r>
  <r>
    <s v="Row783_Row564_Row0_Row279_Row153_Row1_Row3_Row5"/>
    <n v="784"/>
    <s v="RES000784"/>
    <s v="Row1425"/>
    <x v="3"/>
    <s v="Row1403"/>
    <s v="Row1390"/>
    <x v="6"/>
    <s v="Row1351"/>
    <s v="Row1350"/>
    <s v="0"/>
    <n v="2"/>
    <n v="1"/>
    <n v="0"/>
    <n v="5"/>
    <n v="3"/>
    <n v="0"/>
    <n v="1"/>
    <n v="0"/>
    <n v="0"/>
    <n v="1243"/>
    <n v="0"/>
    <n v="0"/>
    <n v="1243"/>
    <n v="1"/>
    <n v="0"/>
    <n v="65"/>
  </r>
  <r>
    <s v="Row784_Row204_Row1_Row167_Row41_Row0_Row1_Row3"/>
    <n v="785"/>
    <s v="RES000785"/>
    <s v="Row413"/>
    <x v="0"/>
    <s v="Row413"/>
    <s v="Row95"/>
    <x v="0"/>
    <s v="Row87"/>
    <s v="Row4"/>
    <s v="498.56"/>
    <n v="2"/>
    <n v="0"/>
    <n v="0"/>
    <n v="6"/>
    <n v="2"/>
    <n v="0"/>
    <n v="0"/>
    <n v="0"/>
    <n v="0"/>
    <s v="1246.39"/>
    <s v="22.6"/>
    <n v="22.6"/>
    <s v="1223.7900000000002"/>
    <n v="1"/>
    <n v="0"/>
    <n v="66"/>
  </r>
  <r>
    <s v="Row785_Row333_Row3_Row64_Row104_Row2_Row1_Row1"/>
    <n v="786"/>
    <s v="RES000786"/>
    <s v="Row745"/>
    <x v="1"/>
    <s v="Row144"/>
    <s v="Row353"/>
    <x v="1"/>
    <s v="Row87"/>
    <s v="Row2"/>
    <s v="114.81"/>
    <n v="3"/>
    <n v="2"/>
    <n v="0"/>
    <n v="1"/>
    <n v="5"/>
    <n v="0"/>
    <n v="0"/>
    <n v="0"/>
    <n v="0"/>
    <s v="287.02"/>
    <s v="61.02"/>
    <n v="61.02"/>
    <s v="225.99999999999997"/>
    <n v="1"/>
    <n v="0"/>
    <n v="67"/>
  </r>
  <r>
    <s v="Row786_Row71_Row2_Row50_Row37_Row6_Row0_Row1"/>
    <n v="787"/>
    <s v="RES000787"/>
    <s v="Row142"/>
    <x v="2"/>
    <s v="Row118"/>
    <s v="Row89"/>
    <x v="2"/>
    <s v="Row0"/>
    <s v="Row2"/>
    <s v="1498.38"/>
    <n v="3"/>
    <n v="0"/>
    <n v="0"/>
    <n v="2"/>
    <n v="3"/>
    <n v="0"/>
    <n v="0"/>
    <n v="1"/>
    <n v="1"/>
    <s v="749.19"/>
    <s v="274.59"/>
    <n v="274.58999999999997"/>
    <s v="474.6000000000001"/>
    <n v="1"/>
    <n v="1"/>
    <n v="68"/>
  </r>
  <r>
    <s v="Row787_Row346_Row0_Row125_Row125_Row5_Row0_Row4"/>
    <n v="788"/>
    <s v="RES000788"/>
    <s v="Row802"/>
    <x v="3"/>
    <s v="Row277"/>
    <s v="Row596"/>
    <x v="3"/>
    <s v="Row0"/>
    <s v="Row9"/>
    <s v="2906.25"/>
    <n v="3"/>
    <n v="1"/>
    <n v="0"/>
    <n v="3"/>
    <n v="4"/>
    <n v="0"/>
    <n v="0"/>
    <n v="1"/>
    <n v="1"/>
    <s v="968.75"/>
    <s v="222.95000000000002"/>
    <n v="222.95"/>
    <s v="745.8"/>
    <n v="1"/>
    <n v="1"/>
    <n v="69"/>
  </r>
  <r>
    <s v="Row788_Row419_Row1_Row22_Row93_Row4_Row0_Row2"/>
    <n v="789"/>
    <s v="RES000789"/>
    <s v="Row1013"/>
    <x v="0"/>
    <s v="Row51"/>
    <s v="Row265"/>
    <x v="4"/>
    <s v="Row0"/>
    <s v="Row3"/>
    <s v="935.64"/>
    <n v="3"/>
    <n v="0"/>
    <n v="0"/>
    <n v="4"/>
    <n v="3"/>
    <n v="0"/>
    <n v="0"/>
    <n v="1"/>
    <n v="1"/>
    <s v="935.64"/>
    <s v="76.84"/>
    <n v="76.84"/>
    <s v="858.8"/>
    <n v="1"/>
    <n v="1"/>
    <n v="70"/>
  </r>
  <r>
    <s v="Row789_Row350_Row3_Row186_Row105_Row3_Row0_Row0"/>
    <n v="790"/>
    <s v="RES000790"/>
    <s v="Row811"/>
    <x v="1"/>
    <s v="Row514"/>
    <s v="Row358"/>
    <x v="5"/>
    <s v="Row0"/>
    <s v="Row0"/>
    <s v="2294.58"/>
    <n v="1"/>
    <n v="0"/>
    <n v="0"/>
    <n v="5"/>
    <n v="1"/>
    <n v="0"/>
    <n v="0"/>
    <n v="1"/>
    <n v="1"/>
    <s v="1147.29"/>
    <s v="73.78999999999999"/>
    <n v="73.789999999999907"/>
    <s v="1073.5"/>
    <n v="1"/>
    <n v="1"/>
    <n v="71"/>
  </r>
  <r>
    <s v="Row790_Row19_Row2_Row18_Row18_Row1_Row0_Row3"/>
    <n v="791"/>
    <s v="RES000791"/>
    <s v="Row42"/>
    <x v="2"/>
    <s v="Row42"/>
    <s v="Row42"/>
    <x v="6"/>
    <s v="Row0"/>
    <s v="Row4"/>
    <s v="5081.61"/>
    <n v="1"/>
    <n v="0"/>
    <n v="0"/>
    <n v="6"/>
    <n v="1"/>
    <n v="0"/>
    <n v="0"/>
    <n v="1"/>
    <n v="1"/>
    <s v="1693.87"/>
    <s v="270.07"/>
    <n v="270.07"/>
    <s v="1423.8"/>
    <n v="1"/>
    <n v="1"/>
    <n v="72"/>
  </r>
  <r>
    <s v="Row791_Row118_Row0_Row206_Row22_Row0_Row0_Row1"/>
    <n v="792"/>
    <s v="RES000792"/>
    <s v="Row226"/>
    <x v="3"/>
    <s v="Row592"/>
    <s v="Row56"/>
    <x v="0"/>
    <s v="Row0"/>
    <s v="Row2"/>
    <s v="271.2"/>
    <n v="1"/>
    <n v="2"/>
    <n v="1"/>
    <n v="1"/>
    <n v="4"/>
    <n v="0"/>
    <n v="0"/>
    <n v="1"/>
    <n v="1"/>
    <s v="271.2"/>
    <s v="47.46"/>
    <n v="47.46"/>
    <s v="223.73999999999998"/>
    <n v="1"/>
    <n v="1"/>
    <n v="73"/>
  </r>
  <r>
    <s v="Row792_Row22_Row1_Row123_Row80_Row2_Row0_Row4"/>
    <n v="793"/>
    <s v="RES000793"/>
    <s v="Row48"/>
    <x v="0"/>
    <s v="Row272"/>
    <s v="Row204"/>
    <x v="1"/>
    <s v="Row0"/>
    <s v="Row9"/>
    <s v="1462.22"/>
    <n v="2"/>
    <n v="0"/>
    <n v="0"/>
    <n v="2"/>
    <n v="2"/>
    <n v="0"/>
    <n v="0"/>
    <n v="1"/>
    <n v="1"/>
    <s v="731.11"/>
    <s v="301.71"/>
    <n v="301.70999999999998"/>
    <s v="429.40000000000003"/>
    <n v="1"/>
    <n v="1"/>
    <n v="74"/>
  </r>
  <r>
    <s v="Row793_Row33_Row3_Row30_Row28_Row6_Row0_Row2"/>
    <n v="794"/>
    <s v="RES000794"/>
    <s v="Row74"/>
    <x v="1"/>
    <s v="Row74"/>
    <s v="Row74"/>
    <x v="2"/>
    <s v="Row0"/>
    <s v="Row3"/>
    <s v="2640.81"/>
    <n v="2"/>
    <n v="0"/>
    <n v="0"/>
    <n v="3"/>
    <n v="2"/>
    <n v="0"/>
    <n v="0"/>
    <n v="1"/>
    <n v="1"/>
    <s v="880.27"/>
    <s v="202.26999999999998"/>
    <n v="202.26999999999899"/>
    <n v="678"/>
    <n v="1"/>
    <n v="1"/>
    <n v="75"/>
  </r>
  <r>
    <s v="Row794_Row51_Row2_Row132_Row36_Row5_Row0_Row0"/>
    <n v="795"/>
    <s v="RES000795"/>
    <s v="Row105"/>
    <x v="2"/>
    <s v="Row315"/>
    <s v="Row88"/>
    <x v="3"/>
    <s v="Row0"/>
    <s v="Row0"/>
    <s v="870.1"/>
    <n v="2"/>
    <n v="0"/>
    <n v="0"/>
    <n v="4"/>
    <n v="2"/>
    <n v="0"/>
    <n v="0"/>
    <n v="1"/>
    <n v="1"/>
    <s v="870.1"/>
    <s v="63.28"/>
    <n v="63.28"/>
    <s v="806.82"/>
    <n v="1"/>
    <n v="1"/>
    <n v="76"/>
  </r>
  <r>
    <s v="Row795_Row10_Row0_Row71_Row96_Row4_Row0_Row3"/>
    <n v="796"/>
    <s v="RES000796"/>
    <s v="Row23"/>
    <x v="3"/>
    <s v="Row152"/>
    <s v="Row285"/>
    <x v="4"/>
    <s v="Row0"/>
    <s v="Row4"/>
    <s v="2614.82"/>
    <n v="3"/>
    <n v="1"/>
    <n v="0"/>
    <n v="5"/>
    <n v="4"/>
    <n v="0"/>
    <n v="0"/>
    <n v="1"/>
    <n v="1"/>
    <s v="1307.41"/>
    <s v="64.41"/>
    <n v="64.41"/>
    <n v="1243"/>
    <n v="1"/>
    <n v="1"/>
    <n v="77"/>
  </r>
  <r>
    <s v="Row796_Row340_Row1_Row173_Row56_Row3_Row0_Row1"/>
    <n v="797"/>
    <s v="RES000797"/>
    <s v="Row781"/>
    <x v="0"/>
    <s v="Row429"/>
    <s v="Row137"/>
    <x v="5"/>
    <s v="Row0"/>
    <s v="Row2"/>
    <s v="4668.03"/>
    <n v="3"/>
    <n v="0"/>
    <n v="0"/>
    <n v="6"/>
    <n v="3"/>
    <n v="0"/>
    <n v="0"/>
    <n v="1"/>
    <n v="1"/>
    <s v="1556.01"/>
    <s v="267.81"/>
    <n v="267.81"/>
    <s v="1288.2"/>
    <n v="1"/>
    <n v="1"/>
    <n v="78"/>
  </r>
  <r>
    <s v="Row797_Row225_Row3_Row121_Row17_Row1_Row0_Row4"/>
    <n v="798"/>
    <s v="RES000798"/>
    <s v="Row464"/>
    <x v="1"/>
    <s v="Row261"/>
    <s v="Row39"/>
    <x v="6"/>
    <s v="Row0"/>
    <s v="Row9"/>
    <s v="287.02"/>
    <n v="3"/>
    <n v="2"/>
    <n v="0"/>
    <n v="1"/>
    <n v="5"/>
    <n v="0"/>
    <n v="0"/>
    <n v="1"/>
    <n v="1"/>
    <s v="287.02"/>
    <s v="61.02"/>
    <n v="61.02"/>
    <s v="225.99999999999997"/>
    <n v="1"/>
    <n v="1"/>
    <n v="79"/>
  </r>
  <r>
    <s v="Row798_Row92_Row2_Row82_Row73_Row0_Row0_Row2"/>
    <n v="799"/>
    <s v="RES000799"/>
    <s v="Row175"/>
    <x v="2"/>
    <s v="Row175"/>
    <s v="Row175"/>
    <x v="0"/>
    <s v="Row0"/>
    <s v="Row3"/>
    <s v="1498.38"/>
    <n v="3"/>
    <n v="0"/>
    <n v="0"/>
    <n v="2"/>
    <n v="3"/>
    <n v="0"/>
    <n v="0"/>
    <n v="1"/>
    <n v="1"/>
    <s v="749.19"/>
    <s v="274.59"/>
    <n v="274.58999999999997"/>
    <s v="474.6000000000001"/>
    <n v="1"/>
    <n v="1"/>
    <n v="80"/>
  </r>
  <r>
    <s v="Row799_Row176_Row0_Row163_Row31_Row2_Row0_Row0"/>
    <n v="800"/>
    <s v="RES000800"/>
    <s v="Row351"/>
    <x v="3"/>
    <s v="Row399"/>
    <s v="Row80"/>
    <x v="1"/>
    <s v="Row0"/>
    <s v="Row0"/>
    <s v="2813.7"/>
    <n v="1"/>
    <n v="1"/>
    <n v="0"/>
    <n v="3"/>
    <n v="2"/>
    <n v="0"/>
    <n v="0"/>
    <n v="1"/>
    <n v="1"/>
    <s v="937.9"/>
    <s v="229.39000000000001"/>
    <n v="229.39"/>
    <s v="708.51"/>
    <n v="1"/>
    <n v="1"/>
    <n v="81"/>
  </r>
  <r>
    <s v="Row800_Row501_Row1_Row245_Row133_Row6_Row2_Row5"/>
    <n v="801"/>
    <s v="RES000801"/>
    <s v="Row1355"/>
    <x v="0"/>
    <s v="Row1355"/>
    <s v="Row1355"/>
    <x v="2"/>
    <s v="Row1350"/>
    <s v="Row1350"/>
    <s v="0"/>
    <n v="1"/>
    <n v="0"/>
    <n v="0"/>
    <n v="4"/>
    <n v="1"/>
    <n v="1"/>
    <n v="0"/>
    <n v="0"/>
    <n v="0"/>
    <s v="244.08"/>
    <n v="0"/>
    <n v="0"/>
    <s v="244.08"/>
    <n v="1"/>
    <n v="0"/>
    <n v="82"/>
  </r>
  <r>
    <s v="Row801_Row500_Row3_Row244_Row132_Row5_Row2_Row5"/>
    <n v="802"/>
    <s v="RES000802"/>
    <s v="Row1354"/>
    <x v="1"/>
    <s v="Row1354"/>
    <s v="Row1354"/>
    <x v="3"/>
    <s v="Row1350"/>
    <s v="Row1350"/>
    <s v="0"/>
    <n v="1"/>
    <n v="0"/>
    <n v="0"/>
    <n v="5"/>
    <n v="1"/>
    <n v="1"/>
    <n v="0"/>
    <n v="0"/>
    <n v="0"/>
    <s v="367.25"/>
    <n v="0"/>
    <n v="0"/>
    <s v="367.25"/>
    <n v="1"/>
    <n v="0"/>
    <n v="83"/>
  </r>
  <r>
    <s v="Row802_Row569_Row2_Row289_Row151_Row4_Row2_Row5"/>
    <n v="803"/>
    <s v="RES000803"/>
    <s v="Row1430"/>
    <x v="2"/>
    <s v="Row1430"/>
    <s v="Row1386"/>
    <x v="4"/>
    <s v="Row1350"/>
    <s v="Row1350"/>
    <s v="0"/>
    <n v="2"/>
    <n v="0"/>
    <n v="0"/>
    <n v="6"/>
    <n v="2"/>
    <n v="1"/>
    <n v="0"/>
    <n v="0"/>
    <n v="0"/>
    <s v="474.6"/>
    <n v="0"/>
    <n v="0"/>
    <s v="474.6"/>
    <n v="1"/>
    <n v="0"/>
    <n v="84"/>
  </r>
  <r>
    <s v="Row803_Row568_Row0_Row257_Row147_Row3_Row3_Row5"/>
    <n v="804"/>
    <s v="RES000804"/>
    <s v="Row1429"/>
    <x v="3"/>
    <s v="Row1369"/>
    <s v="Row1373"/>
    <x v="5"/>
    <s v="Row1351"/>
    <s v="Row1350"/>
    <s v="0"/>
    <n v="2"/>
    <n v="2"/>
    <n v="1"/>
    <n v="1"/>
    <n v="5"/>
    <n v="0"/>
    <n v="1"/>
    <n v="0"/>
    <n v="0"/>
    <s v="84.75"/>
    <n v="0"/>
    <n v="0"/>
    <s v="84.75"/>
    <n v="1"/>
    <n v="0"/>
    <n v="85"/>
  </r>
  <r>
    <s v="Row804_Row405_Row1_Row155_Row70_Row1_Row1_Row1"/>
    <n v="805"/>
    <s v="RES000805"/>
    <s v="Row975"/>
    <x v="0"/>
    <s v="Row372"/>
    <s v="Row167"/>
    <x v="6"/>
    <s v="Row87"/>
    <s v="Row2"/>
    <s v="134.24"/>
    <n v="2"/>
    <n v="0"/>
    <n v="0"/>
    <n v="2"/>
    <n v="2"/>
    <n v="0"/>
    <n v="0"/>
    <n v="0"/>
    <n v="0"/>
    <s v="335.61"/>
    <s v="206.79"/>
    <n v="206.79"/>
    <s v="128.82000000000002"/>
    <n v="1"/>
    <n v="0"/>
    <n v="86"/>
  </r>
  <r>
    <s v="Row805_Row72_Row3_Row196_Row74_Row0_Row1_Row4"/>
    <n v="806"/>
    <s v="RES000806"/>
    <s v="Row144"/>
    <x v="1"/>
    <s v="Row558"/>
    <s v="Row178"/>
    <x v="0"/>
    <s v="Row87"/>
    <s v="Row9"/>
    <s v="126.11"/>
    <n v="3"/>
    <n v="0"/>
    <n v="0"/>
    <n v="3"/>
    <n v="3"/>
    <n v="0"/>
    <n v="0"/>
    <n v="0"/>
    <n v="0"/>
    <s v="315.27"/>
    <s v="94.92"/>
    <n v="94.92"/>
    <s v="220.34999999999997"/>
    <n v="1"/>
    <n v="0"/>
    <n v="87"/>
  </r>
  <r>
    <s v="Row806_Row200_Row2_Row97_Row50_Row2_Row0_Row4"/>
    <n v="807"/>
    <s v="RES000807"/>
    <s v="Row407"/>
    <x v="2"/>
    <s v="Row205"/>
    <s v="Row118"/>
    <x v="1"/>
    <s v="Row0"/>
    <s v="Row9"/>
    <s v="379.68"/>
    <n v="3"/>
    <n v="0"/>
    <n v="0"/>
    <n v="4"/>
    <n v="3"/>
    <n v="0"/>
    <n v="0"/>
    <n v="1"/>
    <n v="1"/>
    <s v="379.68"/>
    <s v="63.28"/>
    <n v="63.28"/>
    <s v="316.4"/>
    <n v="1"/>
    <n v="1"/>
    <n v="88"/>
  </r>
  <r>
    <s v="Row807_Row188_Row0_Row34_Row94_Row6_Row0_Row2"/>
    <n v="808"/>
    <s v="RES000808"/>
    <s v="Row377"/>
    <x v="3"/>
    <s v="Row82"/>
    <s v="Row277"/>
    <x v="2"/>
    <s v="Row0"/>
    <s v="Row3"/>
    <s v="980.84"/>
    <n v="3"/>
    <n v="1"/>
    <n v="0"/>
    <n v="5"/>
    <n v="4"/>
    <n v="0"/>
    <n v="0"/>
    <n v="1"/>
    <n v="1"/>
    <s v="490.42"/>
    <s v="66.67"/>
    <n v="66.67"/>
    <s v="423.75"/>
    <n v="1"/>
    <n v="1"/>
    <n v="89"/>
  </r>
  <r>
    <s v="Row808_Row23_Row1_Row111_Row78_Row5_Row0_Row0"/>
    <n v="809"/>
    <s v="RES000809"/>
    <s v="Row51"/>
    <x v="0"/>
    <s v="Row238"/>
    <s v="Row198"/>
    <x v="3"/>
    <s v="Row0"/>
    <s v="Row0"/>
    <s v="1974.69"/>
    <n v="3"/>
    <n v="0"/>
    <n v="0"/>
    <n v="6"/>
    <n v="3"/>
    <n v="0"/>
    <n v="0"/>
    <n v="1"/>
    <n v="1"/>
    <s v="658.23"/>
    <s v="251.43"/>
    <n v="251.43"/>
    <s v="406.8"/>
    <n v="1"/>
    <n v="1"/>
    <n v="90"/>
  </r>
  <r>
    <s v="Row809_Row294_Row3_Row160_Row42_Row4_Row0_Row3"/>
    <n v="810"/>
    <s v="RES000810"/>
    <s v="Row650"/>
    <x v="1"/>
    <s v="Row391"/>
    <s v="Row96"/>
    <x v="4"/>
    <s v="Row0"/>
    <s v="Row4"/>
    <s v="123.45"/>
    <n v="1"/>
    <n v="2"/>
    <n v="0"/>
    <n v="1"/>
    <n v="3"/>
    <n v="0"/>
    <n v="0"/>
    <n v="1"/>
    <n v="1"/>
    <s v="123.45"/>
    <s v="61.02"/>
    <n v="61.02"/>
    <s v="62.43"/>
    <n v="1"/>
    <n v="1"/>
    <n v="1"/>
  </r>
  <r>
    <s v="Row810_Row77_Row2_Row70_Row65_Row3_Row0_Row1"/>
    <n v="811"/>
    <s v="RES000811"/>
    <s v="Row150"/>
    <x v="2"/>
    <s v="Row150"/>
    <s v="Row150"/>
    <x v="5"/>
    <s v="Row0"/>
    <s v="Row2"/>
    <s v="828.3"/>
    <n v="1"/>
    <n v="0"/>
    <n v="0"/>
    <n v="2"/>
    <n v="1"/>
    <n v="0"/>
    <n v="0"/>
    <n v="1"/>
    <n v="1"/>
    <s v="414.15"/>
    <s v="255.95"/>
    <n v="255.95"/>
    <s v="158.2"/>
    <n v="1"/>
    <n v="1"/>
    <n v="2"/>
  </r>
  <r>
    <s v="Row811_Row352_Row0_Row222_Row0_Row1_Row0_Row4"/>
    <n v="812"/>
    <s v="RES000812"/>
    <s v="Row816"/>
    <x v="3"/>
    <s v="Row724"/>
    <s v="Row0"/>
    <x v="6"/>
    <s v="Row0"/>
    <s v="Row9"/>
    <s v="1450.92"/>
    <n v="1"/>
    <n v="1"/>
    <n v="0"/>
    <n v="3"/>
    <n v="2"/>
    <n v="0"/>
    <n v="0"/>
    <n v="1"/>
    <n v="1"/>
    <s v="483.64"/>
    <s v="229.39000000000001"/>
    <n v="229.39"/>
    <s v="254.24999999999997"/>
    <n v="1"/>
    <n v="1"/>
    <n v="3"/>
  </r>
  <r>
    <s v="Row812_Row263_Row1_Row198_Row20_Row0_Row0_Row2"/>
    <n v="813"/>
    <s v="RES000813"/>
    <s v="Row564"/>
    <x v="0"/>
    <s v="Row564"/>
    <s v="Row48"/>
    <x v="0"/>
    <s v="Row0"/>
    <s v="Row3"/>
    <s v="348.04"/>
    <n v="2"/>
    <n v="0"/>
    <n v="0"/>
    <n v="4"/>
    <n v="2"/>
    <n v="0"/>
    <n v="0"/>
    <n v="1"/>
    <n v="1"/>
    <s v="348.04"/>
    <s v="76.84"/>
    <n v="76.84"/>
    <s v="271.20000000000005"/>
    <n v="1"/>
    <n v="1"/>
    <n v="4"/>
  </r>
  <r>
    <s v="Row813_Row83_Row3_Row74_Row68_Row2_Row0_Row0"/>
    <n v="814"/>
    <s v="RES000814"/>
    <s v="Row162"/>
    <x v="1"/>
    <s v="Row162"/>
    <s v="Row162"/>
    <x v="1"/>
    <s v="Row0"/>
    <s v="Row0"/>
    <s v="894.96"/>
    <n v="2"/>
    <n v="0"/>
    <n v="0"/>
    <n v="5"/>
    <n v="2"/>
    <n v="0"/>
    <n v="0"/>
    <n v="1"/>
    <n v="1"/>
    <s v="447.48"/>
    <s v="80.22999999999999"/>
    <n v="80.229999999999905"/>
    <s v="367.25"/>
    <n v="1"/>
    <n v="1"/>
    <n v="5"/>
  </r>
  <r>
    <s v="Row814_Row30_Row2_Row27_Row26_Row6_Row0_Row3"/>
    <n v="815"/>
    <s v="RES000815"/>
    <s v="Row65"/>
    <x v="2"/>
    <s v="Row65"/>
    <s v="Row65"/>
    <x v="2"/>
    <s v="Row0"/>
    <s v="Row4"/>
    <s v="2162.82"/>
    <n v="2"/>
    <n v="0"/>
    <n v="0"/>
    <n v="6"/>
    <n v="2"/>
    <n v="0"/>
    <n v="0"/>
    <n v="1"/>
    <n v="1"/>
    <s v="720.94"/>
    <s v="270.07"/>
    <n v="270.07"/>
    <s v="450.87000000000006"/>
    <n v="1"/>
    <n v="1"/>
    <n v="6"/>
  </r>
  <r>
    <s v="Row815_Row105_Row0_Row95_Row9_Row5_Row0_Row1"/>
    <n v="816"/>
    <s v="RES000816"/>
    <s v="Row201"/>
    <x v="3"/>
    <s v="Row201"/>
    <s v="Row23"/>
    <x v="3"/>
    <s v="Row0"/>
    <s v="Row2"/>
    <s v="132.21"/>
    <n v="3"/>
    <n v="2"/>
    <n v="1"/>
    <n v="1"/>
    <n v="6"/>
    <n v="0"/>
    <n v="0"/>
    <n v="1"/>
    <n v="1"/>
    <s v="132.21"/>
    <s v="47.46"/>
    <n v="47.46"/>
    <s v="84.75"/>
    <n v="1"/>
    <n v="1"/>
    <n v="7"/>
  </r>
  <r>
    <s v="Row816_Row415_Row1_Row225_Row98_Row4_Row0_Row4"/>
    <n v="817"/>
    <s v="RES000817"/>
    <s v="Row1003"/>
    <x v="0"/>
    <s v="Row773"/>
    <s v="Row319"/>
    <x v="4"/>
    <s v="Row0"/>
    <s v="Row9"/>
    <s v="855.64"/>
    <n v="3"/>
    <n v="0"/>
    <n v="0"/>
    <n v="2"/>
    <n v="3"/>
    <n v="0"/>
    <n v="0"/>
    <n v="1"/>
    <n v="1"/>
    <s v="427.82"/>
    <s v="292.22"/>
    <n v="292.22000000000003"/>
    <s v="135.59999999999997"/>
    <n v="1"/>
    <n v="1"/>
    <n v="8"/>
  </r>
  <r>
    <s v="Row817_Row461_Row3_Row183_Row23_Row3_Row0_Row2"/>
    <n v="818"/>
    <s v="RES000818"/>
    <s v="Row1204"/>
    <x v="1"/>
    <s v="Row499"/>
    <s v="Row59"/>
    <x v="5"/>
    <s v="Row0"/>
    <s v="Row3"/>
    <s v="1239.3899999999999"/>
    <n v="3"/>
    <n v="0"/>
    <n v="0"/>
    <n v="3"/>
    <n v="3"/>
    <n v="0"/>
    <n v="0"/>
    <n v="1"/>
    <n v="1"/>
    <s v="413.13"/>
    <s v="192.78"/>
    <n v="192.78"/>
    <s v="220.35"/>
    <n v="1"/>
    <n v="1"/>
    <n v="9"/>
  </r>
  <r>
    <s v="Row818_Row216_Row2_Row104_Row30_Row1_Row0_Row0"/>
    <n v="819"/>
    <s v="RES000819"/>
    <s v="Row441"/>
    <x v="2"/>
    <s v="Row225"/>
    <s v="Row78"/>
    <x v="6"/>
    <s v="Row0"/>
    <s v="Row0"/>
    <s v="348.04"/>
    <n v="3"/>
    <n v="0"/>
    <n v="0"/>
    <n v="4"/>
    <n v="3"/>
    <n v="0"/>
    <n v="0"/>
    <n v="1"/>
    <n v="1"/>
    <s v="348.04"/>
    <s v="63.28"/>
    <n v="63.28"/>
    <s v="284.76"/>
    <n v="1"/>
    <n v="1"/>
    <n v="10"/>
  </r>
  <r>
    <s v="Row819_Row374_Row0_Row45_Row103_Row0_Row0_Row3"/>
    <n v="820"/>
    <s v="RES000820"/>
    <s v="Row887"/>
    <x v="3"/>
    <s v="Row101"/>
    <s v="Row351"/>
    <x v="0"/>
    <s v="Row0"/>
    <s v="Row4"/>
    <s v="938.46"/>
    <n v="1"/>
    <n v="1"/>
    <n v="0"/>
    <n v="5"/>
    <n v="2"/>
    <n v="0"/>
    <n v="0"/>
    <n v="1"/>
    <n v="1"/>
    <s v="469.23"/>
    <s v="66.67"/>
    <n v="66.67"/>
    <s v="402.56"/>
    <n v="1"/>
    <n v="1"/>
    <n v="11"/>
  </r>
  <r>
    <s v="Row820_Row576_Row1_Row286_Row157_Row2_Row2_Row5"/>
    <n v="821"/>
    <s v="RES000821"/>
    <s v="Row1443"/>
    <x v="0"/>
    <s v="Row1421"/>
    <s v="Row1410"/>
    <x v="1"/>
    <s v="Row1350"/>
    <s v="Row1350"/>
    <s v="0"/>
    <n v="1"/>
    <n v="0"/>
    <n v="0"/>
    <n v="6"/>
    <n v="1"/>
    <n v="1"/>
    <n v="0"/>
    <n v="0"/>
    <n v="0"/>
    <s v="406.8"/>
    <n v="0"/>
    <n v="0"/>
    <s v="406.8"/>
    <n v="1"/>
    <n v="0"/>
    <n v="12"/>
  </r>
  <r>
    <s v="Row821_Row559_Row3_Row285_Row141_Row6_Row2_Row5"/>
    <n v="822"/>
    <s v="RES000822"/>
    <s v="Row1418"/>
    <x v="1"/>
    <s v="Row1418"/>
    <s v="Row1364"/>
    <x v="2"/>
    <s v="Row1350"/>
    <s v="Row1350"/>
    <s v="0"/>
    <n v="1"/>
    <n v="2"/>
    <n v="0"/>
    <n v="1"/>
    <n v="3"/>
    <n v="1"/>
    <n v="0"/>
    <n v="0"/>
    <n v="0"/>
    <s v="73.45"/>
    <n v="0"/>
    <n v="0"/>
    <s v="73.45"/>
    <n v="1"/>
    <n v="0"/>
    <n v="13"/>
  </r>
  <r>
    <s v="Row822_Row535_Row2_Row251_Row152_Row5_Row2_Row5"/>
    <n v="823"/>
    <s v="RES000823"/>
    <s v="Row1392"/>
    <x v="2"/>
    <s v="Row1362"/>
    <s v="Row1389"/>
    <x v="3"/>
    <s v="Row1350"/>
    <s v="Row1350"/>
    <s v="0"/>
    <n v="2"/>
    <n v="0"/>
    <n v="0"/>
    <n v="2"/>
    <n v="2"/>
    <n v="1"/>
    <n v="0"/>
    <n v="0"/>
    <n v="0"/>
    <s v="158.2"/>
    <n v="0"/>
    <n v="0"/>
    <s v="158.2"/>
    <n v="1"/>
    <n v="0"/>
    <n v="14"/>
  </r>
  <r>
    <s v="Row823_Row578_Row0_Row259_Row131_Row4_Row3_Row5"/>
    <n v="824"/>
    <s v="RES000824"/>
    <s v="Row1446"/>
    <x v="3"/>
    <s v="Row1372"/>
    <s v="Row1353"/>
    <x v="4"/>
    <s v="Row1351"/>
    <s v="Row1350"/>
    <s v="0"/>
    <n v="2"/>
    <n v="1"/>
    <n v="0"/>
    <n v="3"/>
    <n v="3"/>
    <n v="0"/>
    <n v="1"/>
    <n v="0"/>
    <n v="0"/>
    <s v="254.25"/>
    <n v="0"/>
    <n v="0"/>
    <s v="254.25"/>
    <n v="1"/>
    <n v="0"/>
    <n v="15"/>
  </r>
  <r>
    <s v="Row824_Row377_Row1_Row159_Row108_Row3_Row1_Row4"/>
    <n v="825"/>
    <s v="RES000825"/>
    <s v="Row894"/>
    <x v="0"/>
    <s v="Row384"/>
    <s v="Row372"/>
    <x v="5"/>
    <s v="Row87"/>
    <s v="Row9"/>
    <s v="119.87"/>
    <n v="2"/>
    <n v="0"/>
    <n v="0"/>
    <n v="4"/>
    <n v="2"/>
    <n v="0"/>
    <n v="0"/>
    <n v="0"/>
    <n v="0"/>
    <s v="299.68"/>
    <s v="69.16"/>
    <n v="69.16"/>
    <s v="230.52"/>
    <n v="1"/>
    <n v="0"/>
    <n v="16"/>
  </r>
  <r>
    <s v="Row825_Row170_Row3_Row118_Row60_Row1_Row1_Row2"/>
    <n v="826"/>
    <s v="RES000826"/>
    <s v="Row338"/>
    <x v="1"/>
    <s v="Row258"/>
    <s v="Row144"/>
    <x v="6"/>
    <s v="Row87"/>
    <s v="Row3"/>
    <s v="172.66"/>
    <n v="3"/>
    <n v="0"/>
    <n v="0"/>
    <n v="5"/>
    <n v="3"/>
    <n v="0"/>
    <n v="0"/>
    <n v="0"/>
    <n v="0"/>
    <s v="431.66"/>
    <s v="64.41"/>
    <n v="64.41"/>
    <s v="367.25"/>
    <n v="1"/>
    <n v="0"/>
    <n v="17"/>
  </r>
  <r>
    <s v="Row826_Row272_Row2_Row185_Row64_Row0_Row0_Row2"/>
    <n v="827"/>
    <s v="RES000827"/>
    <s v="Row588"/>
    <x v="2"/>
    <s v="Row511"/>
    <s v="Row149"/>
    <x v="0"/>
    <s v="Row0"/>
    <s v="Row3"/>
    <s v="2234.0099999999998"/>
    <n v="3"/>
    <n v="0"/>
    <n v="0"/>
    <n v="6"/>
    <n v="3"/>
    <n v="0"/>
    <n v="0"/>
    <n v="1"/>
    <n v="1"/>
    <s v="744.67"/>
    <s v="270.07"/>
    <n v="270.07"/>
    <s v="474.59999999999997"/>
    <n v="1"/>
    <n v="1"/>
    <n v="18"/>
  </r>
  <r>
    <s v="Row827_Row283_Row0_Row68_Row32_Row2_Row0_Row0"/>
    <n v="828"/>
    <s v="RES000828"/>
    <s v="Row613"/>
    <x v="3"/>
    <s v="Row148"/>
    <s v="Row82"/>
    <x v="1"/>
    <s v="Row0"/>
    <s v="Row0"/>
    <s v="123.74"/>
    <n v="3"/>
    <n v="2"/>
    <n v="1"/>
    <n v="1"/>
    <n v="6"/>
    <n v="0"/>
    <n v="0"/>
    <n v="1"/>
    <n v="1"/>
    <s v="123.74"/>
    <s v="47.46"/>
    <n v="47.46"/>
    <s v="76.28"/>
    <n v="1"/>
    <n v="1"/>
    <n v="19"/>
  </r>
  <r>
    <s v="Row828_Row124_Row1_Row16_Row21_Row6_Row0_Row3"/>
    <n v="829"/>
    <s v="RES000829"/>
    <s v="Row238"/>
    <x v="0"/>
    <s v="Row37"/>
    <s v="Row51"/>
    <x v="2"/>
    <s v="Row0"/>
    <s v="Row4"/>
    <s v="874.62"/>
    <n v="3"/>
    <n v="0"/>
    <n v="0"/>
    <n v="2"/>
    <n v="3"/>
    <n v="0"/>
    <n v="0"/>
    <n v="1"/>
    <n v="1"/>
    <s v="437.31"/>
    <s v="301.71"/>
    <n v="301.70999999999998"/>
    <s v="135.60000000000002"/>
    <n v="1"/>
    <n v="1"/>
    <n v="20"/>
  </r>
  <r>
    <s v="Row829_Row194_Row3_Row178_Row5_Row5_Row0_Row1"/>
    <n v="830"/>
    <s v="RES000830"/>
    <s v="Row391"/>
    <x v="1"/>
    <s v="Row451"/>
    <s v="Row9"/>
    <x v="3"/>
    <s v="Row0"/>
    <s v="Row2"/>
    <s v="1221.57"/>
    <n v="1"/>
    <n v="0"/>
    <n v="0"/>
    <n v="3"/>
    <n v="1"/>
    <n v="0"/>
    <n v="0"/>
    <n v="1"/>
    <n v="1"/>
    <s v="407.19"/>
    <s v="197.85999999999999"/>
    <n v="197.85999999999899"/>
    <s v="209.33"/>
    <n v="1"/>
    <n v="1"/>
    <n v="21"/>
  </r>
  <r>
    <s v="Row830_Row262_Row2_Row164_Row100_Row4_Row0_Row4"/>
    <n v="831"/>
    <s v="RES000831"/>
    <s v="Row563"/>
    <x v="2"/>
    <s v="Row406"/>
    <s v="Row332"/>
    <x v="4"/>
    <s v="Row0"/>
    <s v="Row9"/>
    <s v="379.68"/>
    <n v="1"/>
    <n v="0"/>
    <n v="0"/>
    <n v="4"/>
    <n v="1"/>
    <n v="0"/>
    <n v="0"/>
    <n v="1"/>
    <n v="1"/>
    <s v="379.68"/>
    <s v="63.28"/>
    <n v="63.28"/>
    <s v="316.4"/>
    <n v="1"/>
    <n v="1"/>
    <n v="22"/>
  </r>
  <r>
    <s v="Row831_Row260_Row0_Row102_Row122_Row3_Row0_Row2"/>
    <n v="832"/>
    <s v="RES000832"/>
    <s v="Row555"/>
    <x v="3"/>
    <s v="Row218"/>
    <s v="Row555"/>
    <x v="5"/>
    <s v="Row0"/>
    <s v="Row3"/>
    <s v="972.02"/>
    <n v="1"/>
    <n v="1"/>
    <n v="0"/>
    <n v="5"/>
    <n v="2"/>
    <n v="0"/>
    <n v="0"/>
    <n v="1"/>
    <n v="1"/>
    <s v="486.01"/>
    <s v="62.26"/>
    <n v="62.26"/>
    <s v="423.75"/>
    <n v="1"/>
    <n v="1"/>
    <n v="23"/>
  </r>
  <r>
    <s v="Row832_Row479_Row1_Row168_Row123_Row1_Row0_Row0"/>
    <n v="833"/>
    <s v="RES000833"/>
    <s v="Row1271"/>
    <x v="0"/>
    <s v="Row417"/>
    <s v="Row559"/>
    <x v="6"/>
    <s v="Row0"/>
    <s v="Row0"/>
    <s v="2030.6100000000001"/>
    <n v="2"/>
    <n v="0"/>
    <n v="0"/>
    <n v="6"/>
    <n v="2"/>
    <n v="0"/>
    <n v="0"/>
    <n v="1"/>
    <n v="1"/>
    <s v="676.87"/>
    <s v="270.07"/>
    <n v="270.07"/>
    <s v="406.8"/>
    <n v="1"/>
    <n v="1"/>
    <n v="24"/>
  </r>
  <r>
    <s v="Row833_Row110_Row3_Row58_Row89_Row0_Row0_Row3"/>
    <n v="834"/>
    <s v="RES000834"/>
    <s v="Row208"/>
    <x v="1"/>
    <s v="Row131"/>
    <s v="Row247"/>
    <x v="0"/>
    <s v="Row0"/>
    <s v="Row4"/>
    <s v="134.47"/>
    <n v="2"/>
    <n v="2"/>
    <n v="0"/>
    <n v="1"/>
    <n v="4"/>
    <n v="0"/>
    <n v="0"/>
    <n v="1"/>
    <n v="1"/>
    <s v="134.47"/>
    <s v="61.02"/>
    <n v="61.02"/>
    <s v="73.44999999999999"/>
    <n v="1"/>
    <n v="1"/>
    <n v="25"/>
  </r>
  <r>
    <s v="Row834_Row407_Row2_Row187_Row43_Row2_Row0_Row1"/>
    <n v="835"/>
    <s v="RES000835"/>
    <s v="Row979"/>
    <x v="2"/>
    <s v="Row516"/>
    <s v="Row98"/>
    <x v="1"/>
    <s v="Row0"/>
    <s v="Row2"/>
    <s v="849.76"/>
    <n v="2"/>
    <n v="0"/>
    <n v="0"/>
    <n v="2"/>
    <n v="2"/>
    <n v="0"/>
    <n v="0"/>
    <n v="1"/>
    <n v="1"/>
    <s v="424.88"/>
    <s v="274.59"/>
    <n v="274.58999999999997"/>
    <s v="150.29000000000002"/>
    <n v="1"/>
    <n v="1"/>
    <n v="26"/>
  </r>
  <r>
    <s v="Row835_Row179_Row0_Row149_Row79_Row6_Row0_Row4"/>
    <n v="836"/>
    <s v="RES000836"/>
    <s v="Row354"/>
    <x v="3"/>
    <s v="Row354"/>
    <s v="Row202"/>
    <x v="2"/>
    <s v="Row0"/>
    <s v="Row9"/>
    <s v="1450.92"/>
    <n v="3"/>
    <n v="1"/>
    <n v="0"/>
    <n v="3"/>
    <n v="4"/>
    <n v="0"/>
    <n v="0"/>
    <n v="1"/>
    <n v="1"/>
    <s v="483.64"/>
    <s v="229.39000000000001"/>
    <n v="229.39"/>
    <s v="254.24999999999997"/>
    <n v="1"/>
    <n v="1"/>
    <n v="27"/>
  </r>
  <r>
    <s v="Row836_Row169_Row1_Row143_Row33_Row5_Row0_Row2"/>
    <n v="837"/>
    <s v="RES000837"/>
    <s v="Row337"/>
    <x v="0"/>
    <s v="Row337"/>
    <s v="Row84"/>
    <x v="3"/>
    <s v="Row0"/>
    <s v="Row3"/>
    <s v="320.92"/>
    <n v="3"/>
    <n v="0"/>
    <n v="0"/>
    <n v="4"/>
    <n v="3"/>
    <n v="0"/>
    <n v="0"/>
    <n v="1"/>
    <n v="1"/>
    <s v="320.92"/>
    <s v="76.84"/>
    <n v="76.84"/>
    <s v="244.08"/>
    <n v="1"/>
    <n v="1"/>
    <n v="28"/>
  </r>
  <r>
    <s v="Row837_Row182_Row3_Row152_Row107_Row4_Row0_Row0"/>
    <n v="838"/>
    <s v="RES000838"/>
    <s v="Row363"/>
    <x v="1"/>
    <s v="Row363"/>
    <s v="Row363"/>
    <x v="4"/>
    <s v="Row0"/>
    <s v="Row0"/>
    <s v="891.8"/>
    <n v="3"/>
    <n v="0"/>
    <n v="0"/>
    <n v="5"/>
    <n v="3"/>
    <n v="0"/>
    <n v="0"/>
    <n v="1"/>
    <n v="1"/>
    <s v="445.9"/>
    <s v="78.64999999999999"/>
    <n v="78.649999999999906"/>
    <s v="367.25"/>
    <n v="1"/>
    <n v="1"/>
    <n v="29"/>
  </r>
  <r>
    <s v="Row838_Row3_Row2_Row3_Row3_Row3_Row0_Row3"/>
    <n v="839"/>
    <s v="RES000839"/>
    <s v="Row4"/>
    <x v="2"/>
    <s v="Row4"/>
    <s v="Row4"/>
    <x v="5"/>
    <s v="Row0"/>
    <s v="Row4"/>
    <s v="2229.27"/>
    <n v="3"/>
    <n v="0"/>
    <n v="0"/>
    <n v="6"/>
    <n v="3"/>
    <n v="0"/>
    <n v="0"/>
    <n v="1"/>
    <n v="1"/>
    <s v="743.09"/>
    <s v="268.49"/>
    <n v="268.49"/>
    <s v="474.6"/>
    <n v="1"/>
    <n v="1"/>
    <n v="30"/>
  </r>
  <r>
    <s v="Row839_Row49_Row0_Row107_Row87_Row1_Row0_Row1"/>
    <n v="840"/>
    <s v="RES000840"/>
    <s v="Row101"/>
    <x v="3"/>
    <s v="Row230"/>
    <s v="Row230"/>
    <x v="6"/>
    <s v="Row0"/>
    <s v="Row2"/>
    <s v="119.5"/>
    <n v="1"/>
    <n v="2"/>
    <n v="1"/>
    <n v="1"/>
    <n v="4"/>
    <n v="0"/>
    <n v="0"/>
    <n v="1"/>
    <n v="1"/>
    <s v="119.5"/>
    <s v="47.46"/>
    <n v="47.46"/>
    <s v="72.03999999999999"/>
    <n v="1"/>
    <n v="1"/>
    <n v="31"/>
  </r>
  <r>
    <s v="Row840_Row536_Row1_Row250_Row128_Row0_Row2_Row5"/>
    <n v="841"/>
    <s v="RES000841"/>
    <s v="Row1393"/>
    <x v="0"/>
    <s v="Row1361"/>
    <s v="Row1350"/>
    <x v="0"/>
    <s v="Row1350"/>
    <s v="Row1350"/>
    <s v="0"/>
    <n v="1"/>
    <n v="0"/>
    <n v="0"/>
    <n v="2"/>
    <n v="1"/>
    <n v="1"/>
    <n v="0"/>
    <n v="0"/>
    <n v="0"/>
    <s v="205.66"/>
    <n v="0"/>
    <n v="0"/>
    <s v="205.66"/>
    <n v="1"/>
    <n v="0"/>
    <n v="32"/>
  </r>
  <r>
    <s v="Row841_Row585_Row3_Row294_Row158_Row2_Row2_Row5"/>
    <n v="842"/>
    <s v="RES000842"/>
    <s v="Row1455"/>
    <x v="1"/>
    <s v="Row1441"/>
    <s v="Row1436"/>
    <x v="1"/>
    <s v="Row1350"/>
    <s v="Row1350"/>
    <s v="0"/>
    <n v="1"/>
    <n v="0"/>
    <n v="0"/>
    <n v="3"/>
    <n v="1"/>
    <n v="1"/>
    <n v="0"/>
    <n v="0"/>
    <n v="0"/>
    <s v="328.83"/>
    <n v="0"/>
    <n v="0"/>
    <s v="328.83"/>
    <n v="1"/>
    <n v="0"/>
    <n v="33"/>
  </r>
  <r>
    <s v="Row842_Row534_Row2_Row266_Row140_Row6_Row2_Row5"/>
    <n v="843"/>
    <s v="RES000843"/>
    <s v="Row1391"/>
    <x v="2"/>
    <s v="Row1382"/>
    <s v="Row1362"/>
    <x v="2"/>
    <s v="Row1350"/>
    <s v="Row1350"/>
    <s v="0"/>
    <n v="2"/>
    <n v="0"/>
    <n v="0"/>
    <n v="4"/>
    <n v="2"/>
    <n v="1"/>
    <n v="0"/>
    <n v="0"/>
    <n v="0"/>
    <s v="465.56"/>
    <n v="0"/>
    <n v="0"/>
    <s v="465.56"/>
    <n v="1"/>
    <n v="0"/>
    <n v="34"/>
  </r>
  <r>
    <s v="Row843_Row587_Row0_Row291_Row146_Row5_Row3_Row5"/>
    <n v="844"/>
    <s v="RES000844"/>
    <s v="Row1459"/>
    <x v="3"/>
    <s v="Row1434"/>
    <s v="Row1372"/>
    <x v="3"/>
    <s v="Row1351"/>
    <s v="Row1350"/>
    <s v="0"/>
    <n v="2"/>
    <n v="1"/>
    <n v="0"/>
    <n v="5"/>
    <n v="3"/>
    <n v="0"/>
    <n v="1"/>
    <n v="0"/>
    <n v="0"/>
    <s v="615.85"/>
    <n v="0"/>
    <n v="0"/>
    <s v="615.85"/>
    <n v="1"/>
    <n v="0"/>
    <n v="35"/>
  </r>
  <r>
    <s v="Row844_Row265_Row1_Row66_Row111_Row4_Row1_Row2"/>
    <n v="845"/>
    <s v="RES000845"/>
    <s v="Row567"/>
    <x v="0"/>
    <s v="Row146"/>
    <s v="Row384"/>
    <x v="4"/>
    <s v="Row87"/>
    <s v="Row3"/>
    <s v="243.49"/>
    <n v="2"/>
    <n v="0"/>
    <n v="0"/>
    <n v="6"/>
    <n v="2"/>
    <n v="0"/>
    <n v="0"/>
    <n v="0"/>
    <n v="0"/>
    <s v="608.73"/>
    <s v="22.6"/>
    <n v="22.6"/>
    <s v="586.13"/>
    <n v="1"/>
    <n v="0"/>
    <n v="36"/>
  </r>
  <r>
    <s v="Row845_Row193_Row3_Row53_Row38_Row3_Row1_Row0"/>
    <n v="846"/>
    <s v="RES000846"/>
    <s v="Row390"/>
    <x v="1"/>
    <s v="Row122"/>
    <s v="Row91"/>
    <x v="5"/>
    <s v="Row87"/>
    <s v="Row0"/>
    <s v="61.43"/>
    <n v="3"/>
    <n v="2"/>
    <n v="0"/>
    <n v="1"/>
    <n v="5"/>
    <n v="0"/>
    <n v="0"/>
    <n v="0"/>
    <n v="0"/>
    <s v="153.57"/>
    <s v="54.92"/>
    <n v="54.92"/>
    <s v="98.64999999999999"/>
    <n v="1"/>
    <n v="0"/>
    <n v="37"/>
  </r>
  <r>
    <s v="Row846_Row111_Row2_Row99_Row82_Row1_Row0_Row0"/>
    <n v="847"/>
    <s v="RES000847"/>
    <s v="Row210"/>
    <x v="2"/>
    <s v="Row210"/>
    <s v="Row210"/>
    <x v="6"/>
    <s v="Row0"/>
    <s v="Row0"/>
    <s v="1014.74"/>
    <n v="3"/>
    <n v="0"/>
    <n v="0"/>
    <n v="2"/>
    <n v="3"/>
    <n v="0"/>
    <n v="0"/>
    <n v="1"/>
    <n v="1"/>
    <s v="507.37"/>
    <s v="274.59"/>
    <n v="274.58999999999997"/>
    <s v="232.78000000000003"/>
    <n v="1"/>
    <n v="1"/>
    <n v="38"/>
  </r>
  <r>
    <s v="Row847_Row80_Row0_Row202_Row63_Row0_Row0_Row3"/>
    <n v="848"/>
    <s v="RES000848"/>
    <s v="Row156"/>
    <x v="3"/>
    <s v="Row576"/>
    <s v="Row148"/>
    <x v="0"/>
    <s v="Row0"/>
    <s v="Row4"/>
    <s v="1796.6999999999998"/>
    <n v="3"/>
    <n v="1"/>
    <n v="0"/>
    <n v="3"/>
    <n v="4"/>
    <n v="0"/>
    <n v="0"/>
    <n v="1"/>
    <n v="1"/>
    <s v="598.9"/>
    <s v="229.39000000000001"/>
    <n v="229.39"/>
    <s v="369.51"/>
    <n v="1"/>
    <n v="1"/>
    <n v="39"/>
  </r>
  <r>
    <s v="Row848_Row299_Row1_Row109_Row16_Row2_Row0_Row1"/>
    <n v="849"/>
    <s v="RES000849"/>
    <s v="Row660"/>
    <x v="0"/>
    <s v="Row232"/>
    <s v="Row37"/>
    <x v="1"/>
    <s v="Row0"/>
    <s v="Row2"/>
    <s v="488.16"/>
    <n v="3"/>
    <n v="0"/>
    <n v="0"/>
    <n v="4"/>
    <n v="3"/>
    <n v="0"/>
    <n v="0"/>
    <n v="1"/>
    <n v="1"/>
    <s v="488.16"/>
    <s v="76.84"/>
    <n v="76.84"/>
    <s v="411.32000000000005"/>
    <n v="1"/>
    <n v="1"/>
    <n v="40"/>
  </r>
  <r>
    <s v="Row849_Row84_Row3_Row75_Row48_Row6_Row0_Row4"/>
    <n v="850"/>
    <s v="RES000850"/>
    <s v="Row164"/>
    <x v="1"/>
    <s v="Row164"/>
    <s v="Row111"/>
    <x v="2"/>
    <s v="Row0"/>
    <s v="Row9"/>
    <s v="1201.76"/>
    <n v="1"/>
    <n v="0"/>
    <n v="0"/>
    <n v="5"/>
    <n v="1"/>
    <n v="0"/>
    <n v="0"/>
    <n v="1"/>
    <n v="1"/>
    <s v="600.88"/>
    <s v="80.22999999999999"/>
    <n v="80.229999999999905"/>
    <s v="520.65"/>
    <n v="1"/>
    <n v="1"/>
    <n v="41"/>
  </r>
  <r>
    <s v="Row850_Row323_Row2_Row101_Row2_Row5_Row0_Row2"/>
    <n v="851"/>
    <s v="RES000851"/>
    <s v="Row722"/>
    <x v="2"/>
    <s v="Row215"/>
    <s v="Row3"/>
    <x v="3"/>
    <s v="Row0"/>
    <s v="Row3"/>
    <s v="2843.19"/>
    <n v="1"/>
    <n v="0"/>
    <n v="0"/>
    <n v="6"/>
    <n v="1"/>
    <n v="0"/>
    <n v="0"/>
    <n v="1"/>
    <n v="1"/>
    <s v="947.73"/>
    <s v="249.39000000000001"/>
    <n v="249.39"/>
    <s v="698.34"/>
    <n v="1"/>
    <n v="1"/>
    <n v="42"/>
  </r>
  <r>
    <s v="Row851_Row222_Row0_Row171_Row84_Row4_Row0_Row0"/>
    <n v="852"/>
    <s v="RES000852"/>
    <s v="Row456"/>
    <x v="3"/>
    <s v="Row426"/>
    <s v="Row218"/>
    <x v="4"/>
    <s v="Row0"/>
    <s v="Row0"/>
    <s v="170.63"/>
    <n v="1"/>
    <n v="2"/>
    <n v="1"/>
    <n v="1"/>
    <n v="4"/>
    <n v="0"/>
    <n v="0"/>
    <n v="1"/>
    <n v="1"/>
    <s v="170.63"/>
    <s v="47.46"/>
    <n v="47.46"/>
    <s v="123.16999999999999"/>
    <n v="1"/>
    <n v="1"/>
    <n v="43"/>
  </r>
  <r>
    <s v="Row852_Row90_Row1_Row80_Row72_Row3_Row0_Row3"/>
    <n v="853"/>
    <s v="RES000853"/>
    <s v="Row172"/>
    <x v="0"/>
    <s v="Row172"/>
    <s v="Row172"/>
    <x v="5"/>
    <s v="Row0"/>
    <s v="Row4"/>
    <s v="973.38"/>
    <n v="2"/>
    <n v="0"/>
    <n v="0"/>
    <n v="2"/>
    <n v="2"/>
    <n v="0"/>
    <n v="0"/>
    <n v="1"/>
    <n v="1"/>
    <s v="486.69"/>
    <s v="281.03000000000003"/>
    <n v="281.02999999999997"/>
    <s v="205.65999999999997"/>
    <n v="1"/>
    <n v="1"/>
    <n v="44"/>
  </r>
  <r>
    <s v="Row853_Row158_Row3_Row182_Row40_Row1_Row0_Row1"/>
    <n v="854"/>
    <s v="RES000854"/>
    <s v="Row318"/>
    <x v="1"/>
    <s v="Row489"/>
    <s v="Row94"/>
    <x v="6"/>
    <s v="Row0"/>
    <s v="Row2"/>
    <s v="1593.3000000000002"/>
    <n v="2"/>
    <n v="0"/>
    <n v="0"/>
    <n v="3"/>
    <n v="2"/>
    <n v="0"/>
    <n v="0"/>
    <n v="1"/>
    <n v="1"/>
    <s v="531.1"/>
    <s v="202.26999999999998"/>
    <n v="202.26999999999899"/>
    <s v="328.83000000000004"/>
    <n v="1"/>
    <n v="1"/>
    <n v="45"/>
  </r>
  <r>
    <s v="Row854_Row174_Row2_Row92_Row27_Row0_Row0_Row4"/>
    <n v="855"/>
    <s v="RES000855"/>
    <s v="Row348"/>
    <x v="2"/>
    <s v="Row196"/>
    <s v="Row68"/>
    <x v="0"/>
    <s v="Row0"/>
    <s v="Row9"/>
    <s v="459.01"/>
    <n v="2"/>
    <n v="0"/>
    <n v="0"/>
    <n v="4"/>
    <n v="2"/>
    <n v="0"/>
    <n v="0"/>
    <n v="1"/>
    <n v="1"/>
    <s v="459.01"/>
    <s v="63.28"/>
    <n v="63.28"/>
    <s v="395.73"/>
    <n v="1"/>
    <n v="1"/>
    <n v="46"/>
  </r>
  <r>
    <s v="Row855_Row219_Row0_Row15_Row99_Row2_Row0_Row2"/>
    <n v="856"/>
    <s v="RES000856"/>
    <s v="Row449"/>
    <x v="3"/>
    <s v="Row35"/>
    <s v="Row327"/>
    <x v="1"/>
    <s v="Row0"/>
    <s v="Row3"/>
    <s v="1365.04"/>
    <n v="3"/>
    <n v="1"/>
    <n v="0"/>
    <n v="5"/>
    <n v="4"/>
    <n v="0"/>
    <n v="0"/>
    <n v="1"/>
    <n v="1"/>
    <s v="682.52"/>
    <s v="66.67"/>
    <n v="66.67"/>
    <s v="615.85"/>
    <n v="1"/>
    <n v="1"/>
    <n v="47"/>
  </r>
  <r>
    <s v="Row856_Row447_Row1_Row219_Row29_Row6_Row0_Row0"/>
    <n v="857"/>
    <s v="RES000857"/>
    <s v="Row1145"/>
    <x v="0"/>
    <s v="Row676"/>
    <s v="Row77"/>
    <x v="2"/>
    <s v="Row0"/>
    <s v="Row0"/>
    <s v="2661.1499999999996"/>
    <n v="3"/>
    <n v="0"/>
    <n v="0"/>
    <n v="6"/>
    <n v="3"/>
    <n v="0"/>
    <n v="0"/>
    <n v="1"/>
    <n v="1"/>
    <s v="887.05"/>
    <s v="270.07"/>
    <n v="270.07"/>
    <s v="616.98"/>
    <n v="1"/>
    <n v="1"/>
    <n v="48"/>
  </r>
  <r>
    <s v="Row857_Row295_Row3_Row79_Row66_Row5_Row0_Row3"/>
    <n v="858"/>
    <s v="RES000858"/>
    <s v="Row652"/>
    <x v="1"/>
    <s v="Row171"/>
    <s v="Row154"/>
    <x v="3"/>
    <s v="Row0"/>
    <s v="Row4"/>
    <s v="170.63"/>
    <n v="3"/>
    <n v="2"/>
    <n v="0"/>
    <n v="1"/>
    <n v="5"/>
    <n v="0"/>
    <n v="0"/>
    <n v="1"/>
    <n v="1"/>
    <s v="170.63"/>
    <s v="61.02"/>
    <n v="61.02"/>
    <s v="109.60999999999999"/>
    <n v="1"/>
    <n v="1"/>
    <n v="49"/>
  </r>
  <r>
    <s v="Row858_Row428_Row2_Row103_Row6_Row4_Row0_Row1"/>
    <n v="859"/>
    <s v="RES000859"/>
    <s v="Row1055"/>
    <x v="2"/>
    <s v="Row223"/>
    <s v="Row12"/>
    <x v="4"/>
    <s v="Row0"/>
    <s v="Row2"/>
    <s v="997.12"/>
    <n v="3"/>
    <n v="0"/>
    <n v="0"/>
    <n v="2"/>
    <n v="3"/>
    <n v="0"/>
    <n v="0"/>
    <n v="1"/>
    <n v="1"/>
    <s v="498.56"/>
    <s v="265.78"/>
    <n v="265.77999999999997"/>
    <s v="232.78000000000003"/>
    <n v="1"/>
    <n v="1"/>
    <n v="50"/>
  </r>
  <r>
    <s v="Row859_Row189_Row0_Row190_Row44_Row3_Row0_Row4"/>
    <n v="860"/>
    <s v="RES000860"/>
    <s v="Row380"/>
    <x v="3"/>
    <s v="Row527"/>
    <s v="Row101"/>
    <x v="5"/>
    <s v="Row0"/>
    <s v="Row9"/>
    <s v="1714.83"/>
    <n v="1"/>
    <n v="1"/>
    <n v="0"/>
    <n v="3"/>
    <n v="2"/>
    <n v="0"/>
    <n v="0"/>
    <n v="1"/>
    <n v="1"/>
    <s v="571.61"/>
    <s v="220.58"/>
    <n v="220.58"/>
    <s v="351.03"/>
    <n v="1"/>
    <n v="1"/>
    <n v="51"/>
  </r>
  <r>
    <s v="Row860_Row511_Row1_Row256_Row139_Row1_Row2_Row5"/>
    <n v="861"/>
    <s v="RES000861"/>
    <s v="Row1365"/>
    <x v="0"/>
    <s v="Row1368"/>
    <s v="Row1361"/>
    <x v="6"/>
    <s v="Row1350"/>
    <s v="Row1350"/>
    <s v="0"/>
    <n v="1"/>
    <n v="0"/>
    <n v="0"/>
    <n v="4"/>
    <n v="1"/>
    <n v="1"/>
    <n v="0"/>
    <n v="0"/>
    <n v="0"/>
    <s v="411.32"/>
    <n v="0"/>
    <n v="0"/>
    <s v="411.32"/>
    <n v="1"/>
    <n v="0"/>
    <n v="52"/>
  </r>
  <r>
    <s v="Row861_Row596_Row3_Row296_Row138_Row0_Row2_Row5"/>
    <n v="862"/>
    <s v="RES000862"/>
    <s v="Row1476"/>
    <x v="1"/>
    <s v="Row1444"/>
    <s v="Row1360"/>
    <x v="0"/>
    <s v="Row1350"/>
    <s v="Row1350"/>
    <s v="0"/>
    <n v="1"/>
    <n v="0"/>
    <n v="0"/>
    <n v="5"/>
    <n v="1"/>
    <n v="1"/>
    <n v="0"/>
    <n v="0"/>
    <n v="0"/>
    <s v="548.05"/>
    <n v="0"/>
    <n v="0"/>
    <s v="548.05"/>
    <n v="1"/>
    <n v="0"/>
    <n v="53"/>
  </r>
  <r>
    <s v="Row862_Row526_Row2_Row255_Row156_Row2_Row2_Row5"/>
    <n v="863"/>
    <s v="RES000863"/>
    <s v="Row1382"/>
    <x v="2"/>
    <s v="Row1367"/>
    <s v="Row1408"/>
    <x v="1"/>
    <s v="Row1350"/>
    <s v="Row1350"/>
    <s v="0"/>
    <n v="2"/>
    <n v="0"/>
    <n v="0"/>
    <n v="6"/>
    <n v="2"/>
    <n v="1"/>
    <n v="0"/>
    <n v="0"/>
    <n v="0"/>
    <s v="698.34"/>
    <n v="0"/>
    <n v="0"/>
    <s v="698.34"/>
    <n v="1"/>
    <n v="0"/>
    <n v="54"/>
  </r>
  <r>
    <s v="Row863_Row571_Row0_Row241_Row134_Row6_Row3_Row5"/>
    <n v="864"/>
    <s v="RES000864"/>
    <s v="Row1434"/>
    <x v="3"/>
    <s v="Row1351"/>
    <s v="Row1356"/>
    <x v="2"/>
    <s v="Row1351"/>
    <s v="Row1350"/>
    <s v="0"/>
    <n v="2"/>
    <n v="2"/>
    <n v="1"/>
    <n v="1"/>
    <n v="5"/>
    <n v="0"/>
    <n v="1"/>
    <n v="0"/>
    <n v="0"/>
    <s v="110.85"/>
    <n v="0"/>
    <n v="0"/>
    <s v="110.85"/>
    <n v="1"/>
    <n v="0"/>
    <n v="55"/>
  </r>
  <r>
    <s v="Row864_Row224_Row1_Row180_Row62_Row5_Row1_Row0"/>
    <n v="865"/>
    <s v="RES000865"/>
    <s v="Row462"/>
    <x v="0"/>
    <s v="Row462"/>
    <s v="Row146"/>
    <x v="3"/>
    <s v="Row87"/>
    <s v="Row0"/>
    <s v="160.87"/>
    <n v="2"/>
    <n v="0"/>
    <n v="0"/>
    <n v="2"/>
    <n v="2"/>
    <n v="0"/>
    <n v="0"/>
    <n v="0"/>
    <n v="0"/>
    <s v="402.17"/>
    <s v="206.79"/>
    <n v="206.79"/>
    <s v="195.38000000000002"/>
    <n v="1"/>
    <n v="0"/>
    <n v="56"/>
  </r>
  <r>
    <s v="Row865_Row59_Row3_Row36_Row112_Row4_Row1_Row3"/>
    <n v="866"/>
    <s v="RES000866"/>
    <s v="Row122"/>
    <x v="1"/>
    <s v="Row87"/>
    <s v="Row390"/>
    <x v="4"/>
    <s v="Row87"/>
    <s v="Row4"/>
    <s v="169.5"/>
    <n v="3"/>
    <n v="0"/>
    <n v="0"/>
    <n v="3"/>
    <n v="3"/>
    <n v="0"/>
    <n v="0"/>
    <n v="0"/>
    <n v="0"/>
    <s v="423.75"/>
    <s v="94.92"/>
    <n v="94.92"/>
    <s v="328.83"/>
    <n v="1"/>
    <n v="0"/>
    <n v="57"/>
  </r>
  <r>
    <s v="Row866_Row293_Row2_Row93_Row91_Row3_Row0_Row3"/>
    <n v="867"/>
    <s v="RES000867"/>
    <s v="Row649"/>
    <x v="2"/>
    <s v="Row197"/>
    <s v="Row255"/>
    <x v="5"/>
    <s v="Row0"/>
    <s v="Row4"/>
    <s v="522.51"/>
    <n v="3"/>
    <n v="0"/>
    <n v="0"/>
    <n v="4"/>
    <n v="3"/>
    <n v="0"/>
    <n v="0"/>
    <n v="1"/>
    <n v="1"/>
    <s v="522.51"/>
    <s v="56.95"/>
    <n v="56.95"/>
    <s v="465.56"/>
    <n v="1"/>
    <n v="1"/>
    <n v="58"/>
  </r>
  <r>
    <s v="Row867_Row126_Row0_Row113_Row67_Row1_Row0_Row1"/>
    <n v="868"/>
    <s v="RES000868"/>
    <s v="Row244"/>
    <x v="3"/>
    <s v="Row244"/>
    <s v="Row156"/>
    <x v="6"/>
    <s v="Row0"/>
    <s v="Row2"/>
    <s v="1365.04"/>
    <n v="3"/>
    <n v="1"/>
    <n v="0"/>
    <n v="5"/>
    <n v="4"/>
    <n v="0"/>
    <n v="0"/>
    <n v="1"/>
    <n v="1"/>
    <s v="682.52"/>
    <s v="66.67"/>
    <n v="66.67"/>
    <s v="615.85"/>
    <n v="1"/>
    <n v="1"/>
    <n v="59"/>
  </r>
  <r>
    <s v="Row868_Row121_Row1_Row217_Row117_Row0_Row0_Row4"/>
    <n v="869"/>
    <s v="RES000869"/>
    <s v="Row232"/>
    <x v="0"/>
    <s v="Row670"/>
    <s v="Row492"/>
    <x v="0"/>
    <s v="Row0"/>
    <s v="Row9"/>
    <s v="2661.1499999999996"/>
    <n v="3"/>
    <n v="0"/>
    <n v="0"/>
    <n v="6"/>
    <n v="3"/>
    <n v="0"/>
    <n v="0"/>
    <n v="1"/>
    <n v="1"/>
    <s v="887.05"/>
    <s v="270.07"/>
    <n v="270.07"/>
    <s v="616.98"/>
    <n v="1"/>
    <n v="1"/>
    <n v="60"/>
  </r>
  <r>
    <s v="Row869_Row177_Row3_Row138_Row4_Row2_Row0_Row2"/>
    <n v="870"/>
    <s v="RES000870"/>
    <s v="Row352"/>
    <x v="1"/>
    <s v="Row328"/>
    <s v="Row7"/>
    <x v="1"/>
    <s v="Row0"/>
    <s v="Row3"/>
    <s v="154.19"/>
    <n v="1"/>
    <n v="2"/>
    <n v="0"/>
    <n v="1"/>
    <n v="3"/>
    <n v="0"/>
    <n v="0"/>
    <n v="1"/>
    <n v="1"/>
    <s v="154.19"/>
    <s v="61.02"/>
    <n v="61.02"/>
    <s v="93.16999999999999"/>
    <n v="1"/>
    <n v="1"/>
    <n v="61"/>
  </r>
  <r>
    <s v="Row870_Row273_Row2_Row13_Row49_Row6_Row0_Row0"/>
    <n v="871"/>
    <s v="RES000871"/>
    <s v="Row589"/>
    <x v="2"/>
    <s v="Row32"/>
    <s v="Row116"/>
    <x v="2"/>
    <s v="Row0"/>
    <s v="Row0"/>
    <s v="1014.74"/>
    <n v="1"/>
    <n v="0"/>
    <n v="0"/>
    <n v="2"/>
    <n v="1"/>
    <n v="0"/>
    <n v="0"/>
    <n v="1"/>
    <n v="1"/>
    <s v="507.37"/>
    <s v="274.59"/>
    <n v="274.58999999999997"/>
    <s v="232.78000000000003"/>
    <n v="1"/>
    <n v="1"/>
    <n v="62"/>
  </r>
  <r>
    <s v="Row871_Row210_Row0_Row214_Row120_Row5_Row0_Row3"/>
    <n v="872"/>
    <s v="RES000872"/>
    <s v="Row426"/>
    <x v="3"/>
    <s v="Row646"/>
    <s v="Row539"/>
    <x v="3"/>
    <s v="Row0"/>
    <s v="Row4"/>
    <s v="1777.38"/>
    <n v="1"/>
    <n v="1"/>
    <n v="0"/>
    <n v="3"/>
    <n v="2"/>
    <n v="0"/>
    <n v="0"/>
    <n v="1"/>
    <n v="1"/>
    <s v="592.46"/>
    <s v="222.95000000000002"/>
    <n v="222.95"/>
    <s v="369.51"/>
    <n v="1"/>
    <n v="1"/>
    <n v="63"/>
  </r>
  <r>
    <s v="Row872_Row326_Row1_Row1_Row92_Row4_Row0_Row1"/>
    <n v="873"/>
    <s v="RES000873"/>
    <s v="Row729"/>
    <x v="0"/>
    <s v="Row2"/>
    <s v="Row259"/>
    <x v="4"/>
    <s v="Row0"/>
    <s v="Row2"/>
    <s v="447.03"/>
    <n v="2"/>
    <n v="0"/>
    <n v="0"/>
    <n v="4"/>
    <n v="2"/>
    <n v="0"/>
    <n v="0"/>
    <n v="1"/>
    <n v="1"/>
    <s v="447.03"/>
    <s v="76.84"/>
    <n v="76.84"/>
    <s v="370.18999999999994"/>
    <n v="1"/>
    <n v="1"/>
    <n v="64"/>
  </r>
  <r>
    <s v="Row873_Row8_Row3_Row7_Row8_Row3_Row0_Row4"/>
    <n v="874"/>
    <s v="RES000874"/>
    <s v="Row18"/>
    <x v="1"/>
    <s v="Row18"/>
    <s v="Row18"/>
    <x v="5"/>
    <s v="Row0"/>
    <s v="Row9"/>
    <s v="1243.68"/>
    <n v="2"/>
    <n v="0"/>
    <n v="0"/>
    <n v="5"/>
    <n v="2"/>
    <n v="0"/>
    <n v="0"/>
    <n v="1"/>
    <n v="1"/>
    <s v="621.84"/>
    <s v="73.78999999999999"/>
    <n v="73.789999999999907"/>
    <s v="548.0500000000001"/>
    <n v="1"/>
    <n v="1"/>
    <n v="65"/>
  </r>
  <r>
    <s v="Row874_Row122_Row2_Row230_Row51_Row1_Row0_Row2"/>
    <n v="875"/>
    <s v="RES000875"/>
    <s v="Row233"/>
    <x v="2"/>
    <s v="Row845"/>
    <s v="Row121"/>
    <x v="6"/>
    <s v="Row0"/>
    <s v="Row3"/>
    <s v="2800.4700000000003"/>
    <n v="2"/>
    <n v="0"/>
    <n v="0"/>
    <n v="6"/>
    <n v="2"/>
    <n v="0"/>
    <n v="0"/>
    <n v="1"/>
    <n v="1"/>
    <s v="933.49"/>
    <s v="270.07"/>
    <n v="270.07"/>
    <s v="663.4200000000001"/>
    <n v="1"/>
    <n v="1"/>
    <n v="66"/>
  </r>
  <r>
    <s v="Row875_Row24_Row0_Row10_Row15_Row0_Row0_Row0"/>
    <n v="876"/>
    <s v="RES000876"/>
    <s v="Row52"/>
    <x v="3"/>
    <s v="Row26"/>
    <s v="Row35"/>
    <x v="0"/>
    <s v="Row0"/>
    <s v="Row0"/>
    <s v="170.63"/>
    <n v="3"/>
    <n v="2"/>
    <n v="1"/>
    <n v="1"/>
    <n v="6"/>
    <n v="0"/>
    <n v="0"/>
    <n v="1"/>
    <n v="1"/>
    <s v="170.63"/>
    <s v="47.46"/>
    <n v="47.46"/>
    <s v="123.16999999999999"/>
    <n v="1"/>
    <n v="1"/>
    <n v="67"/>
  </r>
  <r>
    <s v="Row876_Row307_Row1_Row154_Row110_Row2_Row0_Row3"/>
    <n v="877"/>
    <s v="RES000877"/>
    <s v="Row676"/>
    <x v="0"/>
    <s v="Row370"/>
    <s v="Row383"/>
    <x v="1"/>
    <s v="Row0"/>
    <s v="Row4"/>
    <s v="1014.74"/>
    <n v="3"/>
    <n v="0"/>
    <n v="0"/>
    <n v="2"/>
    <n v="3"/>
    <n v="0"/>
    <n v="0"/>
    <n v="1"/>
    <n v="1"/>
    <s v="507.37"/>
    <s v="301.71"/>
    <n v="301.70999999999998"/>
    <s v="205.66000000000003"/>
    <n v="1"/>
    <n v="1"/>
    <n v="68"/>
  </r>
  <r>
    <s v="Row877_Row89_Row3_Row8_Row115_Row6_Row0_Row1"/>
    <n v="878"/>
    <s v="RES000878"/>
    <s v="Row171"/>
    <x v="1"/>
    <s v="Row20"/>
    <s v="Row454"/>
    <x v="2"/>
    <s v="Row0"/>
    <s v="Row2"/>
    <s v="1593.3000000000002"/>
    <n v="3"/>
    <n v="0"/>
    <n v="0"/>
    <n v="3"/>
    <n v="3"/>
    <n v="0"/>
    <n v="0"/>
    <n v="1"/>
    <n v="1"/>
    <s v="531.1"/>
    <s v="202.26999999999998"/>
    <n v="202.26999999999899"/>
    <s v="328.83000000000004"/>
    <n v="1"/>
    <n v="1"/>
    <n v="69"/>
  </r>
  <r>
    <s v="Row878_Row116_Row2_Row232_Row97_Row5_Row0_Row4"/>
    <n v="879"/>
    <s v="RES000879"/>
    <s v="Row223"/>
    <x v="2"/>
    <s v="Row853"/>
    <s v="Row296"/>
    <x v="3"/>
    <s v="Row0"/>
    <s v="Row9"/>
    <s v="528.84"/>
    <n v="3"/>
    <n v="0"/>
    <n v="0"/>
    <n v="4"/>
    <n v="3"/>
    <n v="0"/>
    <n v="0"/>
    <n v="1"/>
    <n v="1"/>
    <s v="528.84"/>
    <s v="63.28"/>
    <n v="63.28"/>
    <s v="465.56000000000006"/>
    <n v="1"/>
    <n v="1"/>
    <n v="70"/>
  </r>
  <r>
    <s v="Row879_Row279_Row0_Row156_Row45_Row4_Row0_Row2"/>
    <n v="880"/>
    <s v="RES000880"/>
    <s v="Row600"/>
    <x v="3"/>
    <s v="Row373"/>
    <s v="Row103"/>
    <x v="4"/>
    <s v="Row0"/>
    <s v="Row3"/>
    <s v="1298.94"/>
    <n v="1"/>
    <n v="1"/>
    <n v="0"/>
    <n v="5"/>
    <n v="2"/>
    <n v="0"/>
    <n v="0"/>
    <n v="1"/>
    <n v="1"/>
    <s v="649.47"/>
    <s v="64.41"/>
    <n v="64.41"/>
    <s v="585.0600000000001"/>
    <n v="1"/>
    <n v="1"/>
    <n v="71"/>
  </r>
  <r>
    <s v="Row880_Row543_Row1_Row282_Row142_Row3_Row2_Row5"/>
    <n v="881"/>
    <s v="RES000881"/>
    <s v="Row1401"/>
    <x v="0"/>
    <s v="Row1412"/>
    <s v="Row1365"/>
    <x v="5"/>
    <s v="Row1350"/>
    <s v="Row1350"/>
    <s v="0"/>
    <n v="1"/>
    <n v="0"/>
    <n v="0"/>
    <n v="6"/>
    <n v="1"/>
    <n v="1"/>
    <n v="0"/>
    <n v="0"/>
    <n v="0"/>
    <s v="616.98"/>
    <n v="0"/>
    <n v="0"/>
    <s v="616.98"/>
    <n v="1"/>
    <n v="0"/>
    <n v="72"/>
  </r>
  <r>
    <s v="Row881_Row509_Row3_Row252_Row136_Row1_Row2_Row5"/>
    <n v="882"/>
    <s v="RES000882"/>
    <s v="Row1363"/>
    <x v="1"/>
    <s v="Row1363"/>
    <s v="Row1358"/>
    <x v="6"/>
    <s v="Row1350"/>
    <s v="Row1350"/>
    <s v="0"/>
    <n v="1"/>
    <n v="2"/>
    <n v="0"/>
    <n v="1"/>
    <n v="3"/>
    <n v="1"/>
    <n v="0"/>
    <n v="0"/>
    <n v="0"/>
    <s v="98.65"/>
    <n v="0"/>
    <n v="0"/>
    <s v="98.65"/>
    <n v="1"/>
    <n v="0"/>
    <n v="73"/>
  </r>
  <r>
    <s v="Row882_Row505_Row2_Row249_Row137_Row0_Row2_Row5"/>
    <n v="883"/>
    <s v="RES000883"/>
    <s v="Row1359"/>
    <x v="2"/>
    <s v="Row1359"/>
    <s v="Row1359"/>
    <x v="0"/>
    <s v="Row1350"/>
    <s v="Row1350"/>
    <s v="0"/>
    <n v="2"/>
    <n v="0"/>
    <n v="0"/>
    <n v="2"/>
    <n v="2"/>
    <n v="1"/>
    <n v="0"/>
    <n v="0"/>
    <n v="0"/>
    <s v="232.78"/>
    <n v="0"/>
    <n v="0"/>
    <s v="232.78"/>
    <n v="1"/>
    <n v="0"/>
    <n v="74"/>
  </r>
  <r>
    <s v="Row883_Row497_Row0_Row258_Row155_Row2_Row3_Row5"/>
    <n v="884"/>
    <s v="RES000884"/>
    <s v="Row1351"/>
    <x v="3"/>
    <s v="Row1370"/>
    <s v="Row1404"/>
    <x v="1"/>
    <s v="Row1351"/>
    <s v="Row1350"/>
    <s v="0"/>
    <n v="2"/>
    <n v="1"/>
    <n v="0"/>
    <n v="3"/>
    <n v="3"/>
    <n v="0"/>
    <n v="1"/>
    <n v="0"/>
    <n v="0"/>
    <s v="369.51"/>
    <n v="0"/>
    <n v="0"/>
    <s v="369.51"/>
    <n v="1"/>
    <n v="0"/>
    <n v="75"/>
  </r>
  <r>
    <s v="Row884_Row403_Row1_Row48_Row121_Row6_Row1_Row3"/>
    <n v="885"/>
    <s v="RES000885"/>
    <s v="Row973"/>
    <x v="0"/>
    <s v="Row110"/>
    <s v="Row547"/>
    <x v="2"/>
    <s v="Row87"/>
    <s v="Row4"/>
    <s v="170.58"/>
    <n v="2"/>
    <n v="0"/>
    <n v="0"/>
    <n v="4"/>
    <n v="2"/>
    <n v="0"/>
    <n v="0"/>
    <n v="0"/>
    <n v="0"/>
    <s v="426.46"/>
    <s v="76.84"/>
    <n v="76.84"/>
    <s v="349.62"/>
    <n v="1"/>
    <n v="0"/>
    <n v="76"/>
  </r>
  <r>
    <s v="Row885_Row40_Row3_Row189_Row52_Row5_Row1_Row1"/>
    <n v="886"/>
    <s v="RES000886"/>
    <s v="Row87"/>
    <x v="1"/>
    <s v="Row523"/>
    <s v="Row122"/>
    <x v="3"/>
    <s v="Row87"/>
    <s v="Row2"/>
    <s v="244.98"/>
    <n v="3"/>
    <n v="0"/>
    <n v="0"/>
    <n v="5"/>
    <n v="3"/>
    <n v="0"/>
    <n v="0"/>
    <n v="0"/>
    <n v="0"/>
    <s v="612.46"/>
    <s v="64.41"/>
    <n v="64.41"/>
    <s v="548.0500000000001"/>
    <n v="1"/>
    <n v="0"/>
    <n v="77"/>
  </r>
  <r>
    <s v="Row886_Row412_Row2_Row220_Row77_Row4_Row0_Row1"/>
    <n v="887"/>
    <s v="RES000887"/>
    <s v="Row995"/>
    <x v="2"/>
    <s v="Row682"/>
    <s v="Row197"/>
    <x v="4"/>
    <s v="Row0"/>
    <s v="Row2"/>
    <s v="2890.98"/>
    <n v="3"/>
    <n v="0"/>
    <n v="0"/>
    <n v="6"/>
    <n v="3"/>
    <n v="0"/>
    <n v="0"/>
    <n v="1"/>
    <n v="1"/>
    <s v="963.66"/>
    <s v="265.32"/>
    <n v="265.32"/>
    <s v="698.3399999999999"/>
    <n v="1"/>
    <n v="1"/>
    <n v="78"/>
  </r>
  <r>
    <s v="Row887_Row303_Row0_Row215_Row109_Row3_Row0_Row4"/>
    <n v="888"/>
    <s v="RES000888"/>
    <s v="Row667"/>
    <x v="3"/>
    <s v="Row667"/>
    <s v="Row375"/>
    <x v="5"/>
    <s v="Row0"/>
    <s v="Row9"/>
    <s v="165.88"/>
    <n v="3"/>
    <n v="2"/>
    <n v="1"/>
    <n v="1"/>
    <n v="6"/>
    <n v="0"/>
    <n v="0"/>
    <n v="1"/>
    <n v="1"/>
    <s v="165.88"/>
    <s v="42.71"/>
    <n v="42.71"/>
    <s v="123.16999999999999"/>
    <n v="1"/>
    <n v="1"/>
    <n v="79"/>
  </r>
  <r>
    <s v="Row888_Row304_Row1_Row90_Row86_Row1_Row0_Row2"/>
    <n v="889"/>
    <s v="RES000889"/>
    <s v="Row670"/>
    <x v="0"/>
    <s v="Row192"/>
    <s v="Row228"/>
    <x v="6"/>
    <s v="Row0"/>
    <s v="Row3"/>
    <s v="1014.74"/>
    <n v="3"/>
    <n v="0"/>
    <n v="0"/>
    <n v="2"/>
    <n v="3"/>
    <n v="0"/>
    <n v="0"/>
    <n v="1"/>
    <n v="1"/>
    <s v="507.37"/>
    <s v="301.71"/>
    <n v="301.70999999999998"/>
    <s v="205.66000000000003"/>
    <n v="1"/>
    <n v="1"/>
    <n v="80"/>
  </r>
  <r>
    <s v="Row889_Row164_Row3_Row238_Row90_Row0_Row0_Row0"/>
    <n v="890"/>
    <s v="RES000890"/>
    <s v="Row328"/>
    <x v="1"/>
    <s v="Row918"/>
    <s v="Row254"/>
    <x v="0"/>
    <s v="Row0"/>
    <s v="Row0"/>
    <s v="1543.98"/>
    <n v="1"/>
    <n v="0"/>
    <n v="0"/>
    <n v="3"/>
    <n v="1"/>
    <n v="0"/>
    <n v="0"/>
    <n v="1"/>
    <n v="1"/>
    <s v="514.66"/>
    <s v="202.26999999999998"/>
    <n v="202.26999999999899"/>
    <s v="312.39"/>
    <n v="1"/>
    <n v="1"/>
    <n v="81"/>
  </r>
  <r>
    <s v="Row890_Row14_Row2_Row200_Row39_Row2_Row0_Row3"/>
    <n v="891"/>
    <s v="RES000891"/>
    <s v="Row32"/>
    <x v="2"/>
    <s v="Row571"/>
    <s v="Row92"/>
    <x v="1"/>
    <s v="Row0"/>
    <s v="Row4"/>
    <s v="482.28"/>
    <n v="1"/>
    <n v="0"/>
    <n v="0"/>
    <n v="4"/>
    <n v="1"/>
    <n v="0"/>
    <n v="0"/>
    <n v="1"/>
    <n v="1"/>
    <s v="482.28"/>
    <s v="63.28"/>
    <n v="63.28"/>
    <n v="419"/>
    <n v="1"/>
    <n v="1"/>
    <n v="82"/>
  </r>
  <r>
    <s v="Row891_Row218_Row0_Row11_Row101_Row6_Row0_Row1"/>
    <n v="892"/>
    <s v="RES000892"/>
    <s v="Row447"/>
    <x v="3"/>
    <s v="Row27"/>
    <s v="Row336"/>
    <x v="2"/>
    <s v="Row0"/>
    <s v="Row2"/>
    <s v="1365.04"/>
    <n v="1"/>
    <n v="1"/>
    <n v="0"/>
    <n v="5"/>
    <n v="2"/>
    <n v="0"/>
    <n v="0"/>
    <n v="1"/>
    <n v="1"/>
    <s v="682.52"/>
    <s v="66.67"/>
    <n v="66.67"/>
    <s v="615.85"/>
    <n v="1"/>
    <n v="1"/>
    <n v="83"/>
  </r>
  <r>
    <s v="Row892_Row1_Row1_Row130_Row113_Row5_Row0_Row4"/>
    <n v="893"/>
    <s v="RES000893"/>
    <s v="Row2"/>
    <x v="0"/>
    <s v="Row306"/>
    <s v="Row420"/>
    <x v="3"/>
    <s v="Row0"/>
    <s v="Row9"/>
    <s v="2605.23"/>
    <n v="2"/>
    <n v="0"/>
    <n v="0"/>
    <n v="6"/>
    <n v="2"/>
    <n v="0"/>
    <n v="0"/>
    <n v="1"/>
    <n v="1"/>
    <s v="868.41"/>
    <s v="251.43"/>
    <n v="251.43"/>
    <s v="616.98"/>
    <n v="1"/>
    <n v="1"/>
    <n v="84"/>
  </r>
  <r>
    <s v="Row893_Row376_Row3_Row76_Row102_Row4_Row0_Row2"/>
    <n v="894"/>
    <s v="RES000894"/>
    <s v="Row892"/>
    <x v="1"/>
    <s v="Row166"/>
    <s v="Row345"/>
    <x v="4"/>
    <s v="Row0"/>
    <s v="Row3"/>
    <s v="170.63"/>
    <n v="2"/>
    <n v="2"/>
    <n v="0"/>
    <n v="1"/>
    <n v="4"/>
    <n v="0"/>
    <n v="0"/>
    <n v="1"/>
    <n v="1"/>
    <s v="170.63"/>
    <s v="61.02"/>
    <n v="61.02"/>
    <s v="109.60999999999999"/>
    <n v="1"/>
    <n v="1"/>
    <n v="85"/>
  </r>
  <r>
    <s v="Row894_Row379_Row2_Row224_Row85_Row3_Row0_Row0"/>
    <n v="895"/>
    <s v="RES000895"/>
    <s v="Row898"/>
    <x v="2"/>
    <s v="Row746"/>
    <s v="Row220"/>
    <x v="5"/>
    <s v="Row0"/>
    <s v="Row0"/>
    <s v="954.18"/>
    <n v="2"/>
    <n v="0"/>
    <n v="0"/>
    <n v="2"/>
    <n v="2"/>
    <n v="0"/>
    <n v="0"/>
    <n v="1"/>
    <n v="1"/>
    <s v="477.09"/>
    <s v="255.95"/>
    <n v="255.95"/>
    <s v="221.14"/>
    <n v="1"/>
    <n v="1"/>
    <n v="86"/>
  </r>
  <r>
    <s v="Row895_Row93_Row0_Row47_Row10_Row1_Row0_Row3"/>
    <n v="896"/>
    <s v="RES000896"/>
    <s v="Row177"/>
    <x v="3"/>
    <s v="Row107"/>
    <s v="Row26"/>
    <x v="6"/>
    <s v="Row0"/>
    <s v="Row4"/>
    <s v="1796.6999999999998"/>
    <n v="3"/>
    <n v="1"/>
    <n v="0"/>
    <n v="3"/>
    <n v="4"/>
    <n v="0"/>
    <n v="0"/>
    <n v="1"/>
    <n v="1"/>
    <s v="598.9"/>
    <s v="229.39000000000001"/>
    <n v="229.39"/>
    <s v="369.51"/>
    <n v="1"/>
    <n v="1"/>
    <n v="87"/>
  </r>
  <r>
    <s v="Row896_Row361_Row1_Row166_Row14_Row0_Row0_Row1"/>
    <n v="897"/>
    <s v="RES000897"/>
    <s v="Row858"/>
    <x v="0"/>
    <s v="Row410"/>
    <s v="Row34"/>
    <x v="0"/>
    <s v="Row0"/>
    <s v="Row2"/>
    <s v="488.16"/>
    <n v="3"/>
    <n v="0"/>
    <n v="0"/>
    <n v="4"/>
    <n v="3"/>
    <n v="0"/>
    <n v="0"/>
    <n v="1"/>
    <n v="1"/>
    <s v="488.16"/>
    <s v="76.84"/>
    <n v="76.84"/>
    <s v="411.32000000000005"/>
    <n v="1"/>
    <n v="1"/>
    <n v="88"/>
  </r>
  <r>
    <s v="Row897_Row9_Row3_Row140_Row25_Row2_Row0_Row4"/>
    <n v="898"/>
    <s v="RES000898"/>
    <s v="Row20"/>
    <x v="1"/>
    <s v="Row330"/>
    <s v="Row62"/>
    <x v="1"/>
    <s v="Row0"/>
    <s v="Row9"/>
    <s v="1256.56"/>
    <n v="3"/>
    <n v="0"/>
    <n v="0"/>
    <n v="5"/>
    <n v="3"/>
    <n v="0"/>
    <n v="0"/>
    <n v="1"/>
    <n v="1"/>
    <s v="628.28"/>
    <s v="80.22999999999999"/>
    <n v="80.229999999999905"/>
    <s v="548.05"/>
    <n v="1"/>
    <n v="1"/>
    <n v="89"/>
  </r>
  <r>
    <s v="Row898_Row161_Row2_Row135_Row83_Row6_Row0_Row2"/>
    <n v="899"/>
    <s v="RES000899"/>
    <s v="Row321"/>
    <x v="2"/>
    <s v="Row321"/>
    <s v="Row212"/>
    <x v="2"/>
    <s v="Row0"/>
    <s v="Row3"/>
    <s v="2905.23"/>
    <n v="3"/>
    <n v="0"/>
    <n v="0"/>
    <n v="6"/>
    <n v="3"/>
    <n v="0"/>
    <n v="0"/>
    <n v="1"/>
    <n v="1"/>
    <s v="968.41"/>
    <s v="270.07"/>
    <n v="270.07"/>
    <s v="698.3399999999999"/>
    <n v="1"/>
    <n v="1"/>
    <n v="90"/>
  </r>
  <r>
    <s v="Row899_Row186_Row0_Row226_Row114_Row5_Row0_Row0"/>
    <n v="900"/>
    <s v="RES000900"/>
    <s v="Row373"/>
    <x v="3"/>
    <s v="Row809"/>
    <s v="Row444"/>
    <x v="3"/>
    <s v="Row0"/>
    <s v="Row0"/>
    <s v="152.15"/>
    <n v="1"/>
    <n v="2"/>
    <n v="1"/>
    <n v="1"/>
    <n v="4"/>
    <n v="0"/>
    <n v="0"/>
    <n v="1"/>
    <n v="1"/>
    <s v="152.15"/>
    <s v="47.46"/>
    <n v="47.46"/>
    <s v="104.69"/>
    <n v="1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48DCF2-EB0D-44C0-B44F-DE7B7589BBDF}" name="TablaDinámica20" cacheId="1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 rowHeaderCaption="Canal">
  <location ref="A132:B140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8">
        <item x="0"/>
        <item x="6"/>
        <item x="4"/>
        <item x="1"/>
        <item x="3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7"/>
  </rowFields>
  <rowItems count="8">
    <i>
      <x v="5"/>
    </i>
    <i>
      <x v="3"/>
    </i>
    <i>
      <x v="4"/>
    </i>
    <i>
      <x v="2"/>
    </i>
    <i>
      <x v="1"/>
    </i>
    <i>
      <x/>
    </i>
    <i>
      <x v="6"/>
    </i>
    <i t="grand">
      <x/>
    </i>
  </rowItems>
  <colItems count="1">
    <i/>
  </colItems>
  <dataFields count="1">
    <dataField name="Promedio de antelacion_reserva_dias" fld="26" subtotal="average" baseField="7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CFFA22-E080-4B80-834F-A9A94C584DEB}" name="TablaDinámica19" cacheId="1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 rowHeaderCaption="Canal">
  <location ref="A116:B124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8">
        <item x="0"/>
        <item x="6"/>
        <item x="4"/>
        <item x="1"/>
        <item x="3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7"/>
  </rowFields>
  <rowItems count="8">
    <i>
      <x v="1"/>
    </i>
    <i>
      <x v="5"/>
    </i>
    <i>
      <x/>
    </i>
    <i>
      <x v="4"/>
    </i>
    <i>
      <x v="3"/>
    </i>
    <i>
      <x v="2"/>
    </i>
    <i>
      <x v="6"/>
    </i>
    <i t="grand">
      <x/>
    </i>
  </rowItems>
  <colItems count="1">
    <i/>
  </colItems>
  <dataFields count="1">
    <dataField name="Suma de ingreso_servicios_final" fld="22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AE3F3E-E2D8-451F-8B58-B851712C7162}" name="TablaDinámica15" cacheId="1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ropiedad">
  <location ref="A101:A106" firstHeaderRow="1" firstDataRow="1" firstDataCol="1"/>
  <pivotFields count="27"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7A6A91-84E9-42A1-986F-DCD1C9D58F85}" name="TablaDinámica13" cacheId="1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ropiedad">
  <location ref="A85:C90" firstHeaderRow="0" firstDataRow="1" firstDataCol="1"/>
  <pivotFields count="27"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ingreso_habitacion" fld="23" baseField="4" baseItem="0"/>
    <dataField name="Suma de flag_ocupada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C5A627-D9A8-4AF4-B688-1D602FC51101}" name="TablaDinámica11" cacheId="1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ropiedad">
  <location ref="A68:C73" firstHeaderRow="0" firstDataRow="1" firstDataCol="1"/>
  <pivotFields count="27"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habitaciones_ocupadas" fld="25" baseField="0" baseItem="0"/>
    <dataField name="Suma de habitaciones_disponibles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CFD12E-4E7E-47E3-96DE-38AF5100658B}" name="TablaDinámica10" cacheId="1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anal">
  <location ref="A53:C61" firstHeaderRow="0" firstDataRow="1" firstDataCol="1"/>
  <pivotFields count="27"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8">
        <item x="0"/>
        <item x="6"/>
        <item x="4"/>
        <item x="1"/>
        <item x="3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flag_noshow" fld="17" baseField="0" baseItem="0"/>
    <dataField name="Cuenta de id_reserva" fld="1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1D20F3-7FA6-495D-B872-7F0FF0B9A70F}" name="TablaDinámica8" cacheId="1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 rowHeaderCaption="Canal">
  <location ref="A37:C45" firstHeaderRow="0" firstDataRow="1" firstDataCol="1"/>
  <pivotFields count="27">
    <pivotField showAll="0"/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8">
        <item x="0"/>
        <item x="6"/>
        <item x="4"/>
        <item x="1"/>
        <item x="3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8">
    <i>
      <x/>
    </i>
    <i>
      <x v="1"/>
    </i>
    <i>
      <x v="3"/>
    </i>
    <i>
      <x v="6"/>
    </i>
    <i>
      <x v="5"/>
    </i>
    <i>
      <x v="2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flag_cancelada" fld="16" baseField="7" baseItem="4"/>
    <dataField name="Cuenta de id_reserva" fld="1" subtotal="count" baseField="7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D3C15D-60F7-478C-9DCF-6E4C5315465B}" name="TablaDinámica6" cacheId="1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 rowHeaderCaption="Propiedad">
  <location ref="A21:B26" firstHeaderRow="1" firstDataRow="1" firstDataCol="1"/>
  <pivotFields count="27">
    <pivotField showAll="0"/>
    <pivotField showAll="0"/>
    <pivotField showAll="0"/>
    <pivotField showAll="0"/>
    <pivotField axis="axisRow" showAll="0" sortType="de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 v="3"/>
    </i>
    <i>
      <x/>
    </i>
    <i>
      <x v="2"/>
    </i>
    <i>
      <x v="1"/>
    </i>
    <i t="grand">
      <x/>
    </i>
  </rowItems>
  <colItems count="1">
    <i/>
  </colItems>
  <dataFields count="1">
    <dataField name="Suma de ingreso_total" fld="20" baseField="4" baseItem="3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94B02E-A199-4F0C-B34F-13E9A80E41CD}" name="TablaDinámica4" cacheId="1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 rowHeaderCaption="Canal">
  <location ref="A3:B11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8">
        <item x="0"/>
        <item x="6"/>
        <item x="4"/>
        <item x="1"/>
        <item x="3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8">
    <i>
      <x v="1"/>
    </i>
    <i>
      <x v="5"/>
    </i>
    <i>
      <x v="6"/>
    </i>
    <i>
      <x v="3"/>
    </i>
    <i>
      <x v="2"/>
    </i>
    <i>
      <x/>
    </i>
    <i>
      <x v="4"/>
    </i>
    <i t="grand">
      <x/>
    </i>
  </rowItems>
  <colItems count="1">
    <i/>
  </colItems>
  <dataFields count="1">
    <dataField name="Suma de ingreso_total" fld="20" baseField="7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673CD72-8107-4CEF-8840-90E7A25B8555}" autoFormatId="16" applyNumberFormats="0" applyBorderFormats="0" applyFontFormats="0" applyPatternFormats="0" applyAlignmentFormats="0" applyWidthHeightFormats="0">
  <queryTableRefresh nextId="30">
    <queryTableFields count="27">
      <queryTableField id="1" name="sk_fact_reserva" tableColumnId="1"/>
      <queryTableField id="2" name="id_reserva" tableColumnId="2"/>
      <queryTableField id="3" name="codigo_reserva" tableColumnId="3"/>
      <queryTableField id="4" name="sk_fecha" tableColumnId="4"/>
      <queryTableField id="5" name="sk_propiedad" tableColumnId="5"/>
      <queryTableField id="6" name="sk_huesped" tableColumnId="6"/>
      <queryTableField id="7" name="sk_habitacion" tableColumnId="7"/>
      <queryTableField id="8" name="sk_canal" tableColumnId="8"/>
      <queryTableField id="9" name="sk_estado" tableColumnId="9"/>
      <queryTableField id="10" name="sk_metodo_pago" tableColumnId="10"/>
      <queryTableField id="11" name="monto_pago_limpio" tableColumnId="11"/>
      <queryTableField id="12" name="adultos" tableColumnId="12"/>
      <queryTableField id="13" name="ninos" tableColumnId="13"/>
      <queryTableField id="14" name="infantes" tableColumnId="14"/>
      <queryTableField id="15" name="noches_estadia" tableColumnId="15"/>
      <queryTableField id="16" name="cantidad_huespedes" tableColumnId="16"/>
      <queryTableField id="17" name="flag_cancelada" tableColumnId="17"/>
      <queryTableField id="18" name="flag_noshow" tableColumnId="18"/>
      <queryTableField id="19" name="flag_completada" tableColumnId="19"/>
      <queryTableField id="20" name="flag_ocupada" tableColumnId="20"/>
      <queryTableField id="21" name="ingreso_total" tableColumnId="21"/>
      <queryTableField id="22" name="ingreso_servicios" tableColumnId="22"/>
      <queryTableField id="29" dataBound="0" tableColumnId="29"/>
      <queryTableField id="23" name="ingreso_habitacion" tableColumnId="23"/>
      <queryTableField id="24" name="habitaciones_disponibles" tableColumnId="24"/>
      <queryTableField id="25" name="habitaciones_ocupadas" tableColumnId="25"/>
      <queryTableField id="26" name="antelacion_reserva_dias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2B7020-CF52-4EB2-A2DF-A00018157AA5}" name="fact_reserva" displayName="fact_reserva" ref="A1:AA901" tableType="queryTable" totalsRowShown="0">
  <autoFilter ref="A1:AA901" xr:uid="{BB2B7020-CF52-4EB2-A2DF-A00018157AA5}"/>
  <tableColumns count="27">
    <tableColumn id="1" xr3:uid="{4C38F0D3-4E30-4D00-9153-0A5B1F6C80CF}" uniqueName="1" name="sk_fact_reserva" queryTableFieldId="1" dataDxfId="13"/>
    <tableColumn id="2" xr3:uid="{26C8C31B-0B9A-4BB4-AD0B-AC8CE9CEFDC5}" uniqueName="2" name="id_reserva" queryTableFieldId="2"/>
    <tableColumn id="3" xr3:uid="{20675527-1A5F-439F-ACEB-F3039687348E}" uniqueName="3" name="codigo_reserva" queryTableFieldId="3" dataDxfId="12"/>
    <tableColumn id="4" xr3:uid="{91372D41-9A2E-4FE9-B706-2829A2777A51}" uniqueName="4" name="sk_fecha" queryTableFieldId="4" dataDxfId="11"/>
    <tableColumn id="5" xr3:uid="{C4A7D6D8-BB81-4679-AF22-60D3225E407F}" uniqueName="5" name="sk_propiedad" queryTableFieldId="5" dataDxfId="10"/>
    <tableColumn id="6" xr3:uid="{EF75CCED-FEC1-4E91-A3F2-AFBEC0F39EBA}" uniqueName="6" name="sk_huesped" queryTableFieldId="6" dataDxfId="9"/>
    <tableColumn id="7" xr3:uid="{F940C6F7-F2E2-45E7-AF4B-D91EB0F1A9CC}" uniqueName="7" name="sk_habitacion" queryTableFieldId="7" dataDxfId="8"/>
    <tableColumn id="8" xr3:uid="{C9BBDDD6-4AC4-425A-8108-91ED06013EB1}" uniqueName="8" name="sk_canal" queryTableFieldId="8" dataDxfId="7"/>
    <tableColumn id="9" xr3:uid="{FD65F96B-6DC3-4F94-AA38-D25A6B70239C}" uniqueName="9" name="sk_estado" queryTableFieldId="9" dataDxfId="6"/>
    <tableColumn id="10" xr3:uid="{CC688976-AA2A-4A03-8180-1DC6C5295A5E}" uniqueName="10" name="sk_metodo_pago" queryTableFieldId="10" dataDxfId="5"/>
    <tableColumn id="11" xr3:uid="{D4E899F7-FC33-4957-B256-F3870A919360}" uniqueName="11" name="monto_pago_limpio" queryTableFieldId="11" dataDxfId="4"/>
    <tableColumn id="12" xr3:uid="{555B65DD-255C-46D4-AB3D-7107FCDED2FC}" uniqueName="12" name="adultos" queryTableFieldId="12"/>
    <tableColumn id="13" xr3:uid="{88A3D6B2-8E53-415D-B896-33DCF559D4F2}" uniqueName="13" name="ninos" queryTableFieldId="13"/>
    <tableColumn id="14" xr3:uid="{DF5CC7D3-5135-4D75-9CA7-8E85A81DAD4F}" uniqueName="14" name="infantes" queryTableFieldId="14"/>
    <tableColumn id="15" xr3:uid="{39726ECE-CB90-48F8-B6DF-34695E2F7364}" uniqueName="15" name="noches_estadia" queryTableFieldId="15"/>
    <tableColumn id="16" xr3:uid="{2292FC23-2C02-4EEC-AEDA-B95BA7B1592F}" uniqueName="16" name="cantidad_huespedes" queryTableFieldId="16"/>
    <tableColumn id="17" xr3:uid="{73D63ED2-7159-4FF1-855B-DF33C369973C}" uniqueName="17" name="flag_cancelada" queryTableFieldId="17"/>
    <tableColumn id="18" xr3:uid="{FC3677D6-34D2-459C-9193-FDC9302A8A54}" uniqueName="18" name="flag_noshow" queryTableFieldId="18"/>
    <tableColumn id="19" xr3:uid="{C7DA4077-BE02-4514-AE40-5B9C3A0D54C8}" uniqueName="19" name="flag_completada" queryTableFieldId="19"/>
    <tableColumn id="20" xr3:uid="{F7E8CBCE-703B-41A3-952F-9632C7EC4EEF}" uniqueName="20" name="flag_ocupada" queryTableFieldId="20"/>
    <tableColumn id="21" xr3:uid="{BA511752-B934-4A48-B766-CDBBD69A2403}" uniqueName="21" name="ingreso_total" queryTableFieldId="21" dataDxfId="3"/>
    <tableColumn id="22" xr3:uid="{F6DC597C-5E5A-4676-A66E-22B5C5C1FFA6}" uniqueName="22" name="ingreso_servicios" queryTableFieldId="22" dataDxfId="2"/>
    <tableColumn id="29" xr3:uid="{13CF7F4B-6FFA-4B83-B9F3-EA7EA5B04E1B}" uniqueName="29" name="ingreso_servicios_final" queryTableFieldId="29" dataDxfId="0">
      <calculatedColumnFormula>VALUE(SUBSTITUTE(TRIM(V2),".", ","))</calculatedColumnFormula>
    </tableColumn>
    <tableColumn id="23" xr3:uid="{AEAC71C4-B1C2-4733-8AEE-2EBC4A21787E}" uniqueName="23" name="ingreso_habitacion" queryTableFieldId="23" dataDxfId="1"/>
    <tableColumn id="24" xr3:uid="{960DF2F2-2F7F-4916-8B0C-8EA06545CA64}" uniqueName="24" name="habitaciones_disponibles" queryTableFieldId="24"/>
    <tableColumn id="25" xr3:uid="{D8B3D07F-EAC3-4531-9063-01724C8BB3A9}" uniqueName="25" name="habitaciones_ocupadas" queryTableFieldId="25"/>
    <tableColumn id="26" xr3:uid="{E06CB31C-C3DC-4D8D-AEBF-43B61010ABB0}" uniqueName="26" name="antelacion_reserva_dias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B5476-2643-4136-A161-924C4A0B912E}">
  <dimension ref="A1:AA901"/>
  <sheetViews>
    <sheetView topLeftCell="L1" workbookViewId="0">
      <selection activeCell="U1" sqref="U1:U901"/>
    </sheetView>
  </sheetViews>
  <sheetFormatPr baseColWidth="10" defaultRowHeight="14.4" x14ac:dyDescent="0.3"/>
  <cols>
    <col min="1" max="1" width="50.77734375" bestFit="1" customWidth="1"/>
    <col min="2" max="2" width="11.77734375" bestFit="1" customWidth="1"/>
    <col min="3" max="3" width="15.6640625" bestFit="1" customWidth="1"/>
    <col min="4" max="4" width="10.44140625" bestFit="1" customWidth="1"/>
    <col min="5" max="5" width="14.5546875" bestFit="1" customWidth="1"/>
    <col min="6" max="6" width="13" bestFit="1" customWidth="1"/>
    <col min="7" max="7" width="14.77734375" bestFit="1" customWidth="1"/>
    <col min="8" max="8" width="10.44140625" bestFit="1" customWidth="1"/>
    <col min="10" max="10" width="17.109375" bestFit="1" customWidth="1"/>
    <col min="11" max="11" width="19.6640625" bestFit="1" customWidth="1"/>
    <col min="12" max="12" width="9.44140625" bestFit="1" customWidth="1"/>
    <col min="13" max="13" width="7.6640625" bestFit="1" customWidth="1"/>
    <col min="14" max="14" width="9.88671875" bestFit="1" customWidth="1"/>
    <col min="15" max="15" width="16.109375" bestFit="1" customWidth="1"/>
    <col min="16" max="16" width="20.5546875" bestFit="1" customWidth="1"/>
    <col min="17" max="17" width="15.6640625" bestFit="1" customWidth="1"/>
    <col min="18" max="18" width="13.21875" bestFit="1" customWidth="1"/>
    <col min="19" max="19" width="17.109375" bestFit="1" customWidth="1"/>
    <col min="20" max="20" width="14.21875" bestFit="1" customWidth="1"/>
    <col min="21" max="21" width="13.88671875" bestFit="1" customWidth="1"/>
    <col min="22" max="22" width="18.6640625" bestFit="1" customWidth="1"/>
    <col min="23" max="23" width="18.6640625" customWidth="1"/>
    <col min="24" max="24" width="19" bestFit="1" customWidth="1"/>
    <col min="25" max="25" width="24.77734375" bestFit="1" customWidth="1"/>
    <col min="26" max="26" width="23" bestFit="1" customWidth="1"/>
    <col min="27" max="27" width="23.4414062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3145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3">
      <c r="A2" s="1" t="s">
        <v>26</v>
      </c>
      <c r="B2">
        <v>1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33</v>
      </c>
      <c r="K2" s="1" t="s">
        <v>34</v>
      </c>
      <c r="L2">
        <v>1</v>
      </c>
      <c r="M2">
        <v>0</v>
      </c>
      <c r="N2">
        <v>0</v>
      </c>
      <c r="O2">
        <v>2</v>
      </c>
      <c r="P2">
        <v>1</v>
      </c>
      <c r="Q2">
        <v>1</v>
      </c>
      <c r="R2">
        <v>0</v>
      </c>
      <c r="S2">
        <v>0</v>
      </c>
      <c r="T2">
        <v>0</v>
      </c>
      <c r="U2" s="1" t="s">
        <v>35</v>
      </c>
      <c r="V2" s="1">
        <v>0</v>
      </c>
      <c r="W2">
        <f t="shared" ref="W2:W65" si="0">VALUE(SUBSTITUTE(TRIM(V2),".", ","))</f>
        <v>0</v>
      </c>
      <c r="X2" s="1" t="s">
        <v>35</v>
      </c>
      <c r="Y2">
        <v>1</v>
      </c>
      <c r="Z2">
        <v>0</v>
      </c>
      <c r="AA2">
        <v>2</v>
      </c>
    </row>
    <row r="3" spans="1:27" x14ac:dyDescent="0.3">
      <c r="A3" s="1" t="s">
        <v>36</v>
      </c>
      <c r="B3">
        <v>2</v>
      </c>
      <c r="C3" s="1" t="s">
        <v>37</v>
      </c>
      <c r="D3" s="1" t="s">
        <v>38</v>
      </c>
      <c r="E3" s="1" t="s">
        <v>39</v>
      </c>
      <c r="F3" s="1" t="s">
        <v>38</v>
      </c>
      <c r="G3" s="1" t="s">
        <v>40</v>
      </c>
      <c r="H3" s="1" t="s">
        <v>41</v>
      </c>
      <c r="I3" s="1" t="s">
        <v>33</v>
      </c>
      <c r="J3" s="1" t="s">
        <v>33</v>
      </c>
      <c r="K3" s="1" t="s">
        <v>34</v>
      </c>
      <c r="L3">
        <v>1</v>
      </c>
      <c r="M3">
        <v>0</v>
      </c>
      <c r="N3">
        <v>0</v>
      </c>
      <c r="O3">
        <v>3</v>
      </c>
      <c r="P3">
        <v>1</v>
      </c>
      <c r="Q3">
        <v>1</v>
      </c>
      <c r="R3">
        <v>0</v>
      </c>
      <c r="S3">
        <v>0</v>
      </c>
      <c r="T3">
        <v>0</v>
      </c>
      <c r="U3" s="1" t="s">
        <v>42</v>
      </c>
      <c r="V3" s="1">
        <v>0</v>
      </c>
      <c r="W3" s="1">
        <f t="shared" si="0"/>
        <v>0</v>
      </c>
      <c r="X3" s="1" t="s">
        <v>42</v>
      </c>
      <c r="Y3">
        <v>1</v>
      </c>
      <c r="Z3">
        <v>0</v>
      </c>
      <c r="AA3">
        <v>3</v>
      </c>
    </row>
    <row r="4" spans="1:27" x14ac:dyDescent="0.3">
      <c r="A4" s="1" t="s">
        <v>43</v>
      </c>
      <c r="B4">
        <v>3</v>
      </c>
      <c r="C4" s="1" t="s">
        <v>44</v>
      </c>
      <c r="D4" s="1" t="s">
        <v>45</v>
      </c>
      <c r="E4" s="1" t="s">
        <v>41</v>
      </c>
      <c r="F4" s="1" t="s">
        <v>46</v>
      </c>
      <c r="G4" s="1" t="s">
        <v>47</v>
      </c>
      <c r="H4" s="1" t="s">
        <v>48</v>
      </c>
      <c r="I4" s="1" t="s">
        <v>33</v>
      </c>
      <c r="J4" s="1" t="s">
        <v>33</v>
      </c>
      <c r="K4" s="1" t="s">
        <v>34</v>
      </c>
      <c r="L4">
        <v>2</v>
      </c>
      <c r="M4">
        <v>0</v>
      </c>
      <c r="N4">
        <v>0</v>
      </c>
      <c r="O4">
        <v>4</v>
      </c>
      <c r="P4">
        <v>2</v>
      </c>
      <c r="Q4">
        <v>1</v>
      </c>
      <c r="R4">
        <v>0</v>
      </c>
      <c r="S4">
        <v>0</v>
      </c>
      <c r="T4">
        <v>0</v>
      </c>
      <c r="U4" s="1" t="s">
        <v>49</v>
      </c>
      <c r="V4" s="1">
        <v>0</v>
      </c>
      <c r="W4" s="1">
        <f t="shared" si="0"/>
        <v>0</v>
      </c>
      <c r="X4" s="1" t="s">
        <v>49</v>
      </c>
      <c r="Y4">
        <v>1</v>
      </c>
      <c r="Z4">
        <v>0</v>
      </c>
      <c r="AA4">
        <v>4</v>
      </c>
    </row>
    <row r="5" spans="1:27" x14ac:dyDescent="0.3">
      <c r="A5" s="1" t="s">
        <v>50</v>
      </c>
      <c r="B5">
        <v>4</v>
      </c>
      <c r="C5" s="1" t="s">
        <v>51</v>
      </c>
      <c r="D5" s="1" t="s">
        <v>52</v>
      </c>
      <c r="E5" s="1" t="s">
        <v>32</v>
      </c>
      <c r="F5" s="1" t="s">
        <v>53</v>
      </c>
      <c r="G5" s="1" t="s">
        <v>54</v>
      </c>
      <c r="H5" s="1" t="s">
        <v>55</v>
      </c>
      <c r="I5" s="1" t="s">
        <v>56</v>
      </c>
      <c r="J5" s="1" t="s">
        <v>33</v>
      </c>
      <c r="K5" s="1" t="s">
        <v>34</v>
      </c>
      <c r="L5">
        <v>2</v>
      </c>
      <c r="M5">
        <v>1</v>
      </c>
      <c r="N5">
        <v>0</v>
      </c>
      <c r="O5">
        <v>5</v>
      </c>
      <c r="P5">
        <v>3</v>
      </c>
      <c r="Q5">
        <v>0</v>
      </c>
      <c r="R5">
        <v>1</v>
      </c>
      <c r="S5">
        <v>0</v>
      </c>
      <c r="T5">
        <v>0</v>
      </c>
      <c r="U5" s="1" t="s">
        <v>57</v>
      </c>
      <c r="V5" s="1">
        <v>0</v>
      </c>
      <c r="W5" s="1">
        <f t="shared" si="0"/>
        <v>0</v>
      </c>
      <c r="X5" s="1" t="s">
        <v>57</v>
      </c>
      <c r="Y5">
        <v>1</v>
      </c>
      <c r="Z5">
        <v>0</v>
      </c>
      <c r="AA5">
        <v>5</v>
      </c>
    </row>
    <row r="6" spans="1:27" x14ac:dyDescent="0.3">
      <c r="A6" s="1" t="s">
        <v>58</v>
      </c>
      <c r="B6">
        <v>5</v>
      </c>
      <c r="C6" s="1" t="s">
        <v>59</v>
      </c>
      <c r="D6" s="1" t="s">
        <v>60</v>
      </c>
      <c r="E6" s="1" t="s">
        <v>29</v>
      </c>
      <c r="F6" s="1" t="s">
        <v>61</v>
      </c>
      <c r="G6" s="1" t="s">
        <v>62</v>
      </c>
      <c r="H6" s="1" t="s">
        <v>63</v>
      </c>
      <c r="I6" s="1" t="s">
        <v>64</v>
      </c>
      <c r="J6" s="1" t="s">
        <v>29</v>
      </c>
      <c r="K6" s="1" t="s">
        <v>65</v>
      </c>
      <c r="L6">
        <v>2</v>
      </c>
      <c r="M6">
        <v>0</v>
      </c>
      <c r="N6">
        <v>0</v>
      </c>
      <c r="O6">
        <v>6</v>
      </c>
      <c r="P6">
        <v>2</v>
      </c>
      <c r="Q6">
        <v>0</v>
      </c>
      <c r="R6">
        <v>0</v>
      </c>
      <c r="S6">
        <v>0</v>
      </c>
      <c r="T6">
        <v>0</v>
      </c>
      <c r="U6" s="1" t="s">
        <v>66</v>
      </c>
      <c r="V6" s="1" t="s">
        <v>67</v>
      </c>
      <c r="W6" s="1">
        <f t="shared" si="0"/>
        <v>22.6</v>
      </c>
      <c r="X6" s="1" t="s">
        <v>68</v>
      </c>
      <c r="Y6">
        <v>1</v>
      </c>
      <c r="Z6">
        <v>0</v>
      </c>
      <c r="AA6">
        <v>6</v>
      </c>
    </row>
    <row r="7" spans="1:27" x14ac:dyDescent="0.3">
      <c r="A7" s="1" t="s">
        <v>69</v>
      </c>
      <c r="B7">
        <v>6</v>
      </c>
      <c r="C7" s="1" t="s">
        <v>70</v>
      </c>
      <c r="D7" s="1" t="s">
        <v>71</v>
      </c>
      <c r="E7" s="1" t="s">
        <v>39</v>
      </c>
      <c r="F7" s="1" t="s">
        <v>72</v>
      </c>
      <c r="G7" s="1" t="s">
        <v>73</v>
      </c>
      <c r="H7" s="1" t="s">
        <v>74</v>
      </c>
      <c r="I7" s="1" t="s">
        <v>64</v>
      </c>
      <c r="J7" s="1" t="s">
        <v>75</v>
      </c>
      <c r="K7" s="1" t="s">
        <v>76</v>
      </c>
      <c r="L7">
        <v>3</v>
      </c>
      <c r="M7">
        <v>2</v>
      </c>
      <c r="N7">
        <v>0</v>
      </c>
      <c r="O7">
        <v>1</v>
      </c>
      <c r="P7">
        <v>5</v>
      </c>
      <c r="Q7">
        <v>0</v>
      </c>
      <c r="R7">
        <v>0</v>
      </c>
      <c r="S7">
        <v>0</v>
      </c>
      <c r="T7">
        <v>0</v>
      </c>
      <c r="U7" s="1" t="s">
        <v>77</v>
      </c>
      <c r="V7" s="1" t="s">
        <v>78</v>
      </c>
      <c r="W7" s="1">
        <f t="shared" si="0"/>
        <v>54.92</v>
      </c>
      <c r="X7" s="1" t="s">
        <v>79</v>
      </c>
      <c r="Y7">
        <v>1</v>
      </c>
      <c r="Z7">
        <v>0</v>
      </c>
      <c r="AA7">
        <v>7</v>
      </c>
    </row>
    <row r="8" spans="1:27" x14ac:dyDescent="0.3">
      <c r="A8" s="1" t="s">
        <v>80</v>
      </c>
      <c r="B8">
        <v>7</v>
      </c>
      <c r="C8" s="1" t="s">
        <v>81</v>
      </c>
      <c r="D8" s="1" t="s">
        <v>82</v>
      </c>
      <c r="E8" s="1" t="s">
        <v>41</v>
      </c>
      <c r="F8" s="1" t="s">
        <v>83</v>
      </c>
      <c r="G8" s="1" t="s">
        <v>84</v>
      </c>
      <c r="H8" s="1" t="s">
        <v>29</v>
      </c>
      <c r="I8" s="1" t="s">
        <v>32</v>
      </c>
      <c r="J8" s="1" t="s">
        <v>75</v>
      </c>
      <c r="K8" s="1" t="s">
        <v>85</v>
      </c>
      <c r="L8">
        <v>3</v>
      </c>
      <c r="M8">
        <v>0</v>
      </c>
      <c r="N8">
        <v>0</v>
      </c>
      <c r="O8">
        <v>2</v>
      </c>
      <c r="P8">
        <v>3</v>
      </c>
      <c r="Q8">
        <v>0</v>
      </c>
      <c r="R8">
        <v>0</v>
      </c>
      <c r="S8">
        <v>1</v>
      </c>
      <c r="T8">
        <v>1</v>
      </c>
      <c r="U8" s="1" t="s">
        <v>86</v>
      </c>
      <c r="V8" s="1" t="s">
        <v>87</v>
      </c>
      <c r="W8" s="1">
        <f t="shared" si="0"/>
        <v>274.58999999999997</v>
      </c>
      <c r="X8" s="1" t="s">
        <v>88</v>
      </c>
      <c r="Y8">
        <v>1</v>
      </c>
      <c r="Z8">
        <v>1</v>
      </c>
      <c r="AA8">
        <v>8</v>
      </c>
    </row>
    <row r="9" spans="1:27" x14ac:dyDescent="0.3">
      <c r="A9" s="1" t="s">
        <v>89</v>
      </c>
      <c r="B9">
        <v>8</v>
      </c>
      <c r="C9" s="1" t="s">
        <v>90</v>
      </c>
      <c r="D9" s="1" t="s">
        <v>91</v>
      </c>
      <c r="E9" s="1" t="s">
        <v>32</v>
      </c>
      <c r="F9" s="1" t="s">
        <v>92</v>
      </c>
      <c r="G9" s="1" t="s">
        <v>93</v>
      </c>
      <c r="H9" s="1" t="s">
        <v>32</v>
      </c>
      <c r="I9" s="1" t="s">
        <v>32</v>
      </c>
      <c r="J9" s="1" t="s">
        <v>41</v>
      </c>
      <c r="K9" s="1" t="s">
        <v>94</v>
      </c>
      <c r="L9">
        <v>3</v>
      </c>
      <c r="M9">
        <v>1</v>
      </c>
      <c r="N9">
        <v>0</v>
      </c>
      <c r="O9">
        <v>3</v>
      </c>
      <c r="P9">
        <v>4</v>
      </c>
      <c r="Q9">
        <v>0</v>
      </c>
      <c r="R9">
        <v>0</v>
      </c>
      <c r="S9">
        <v>1</v>
      </c>
      <c r="T9">
        <v>1</v>
      </c>
      <c r="U9" s="1" t="s">
        <v>95</v>
      </c>
      <c r="V9" s="1" t="s">
        <v>96</v>
      </c>
      <c r="W9" s="1">
        <f t="shared" si="0"/>
        <v>229.39</v>
      </c>
      <c r="X9" s="1" t="s">
        <v>97</v>
      </c>
      <c r="Y9">
        <v>1</v>
      </c>
      <c r="Z9">
        <v>1</v>
      </c>
      <c r="AA9">
        <v>9</v>
      </c>
    </row>
    <row r="10" spans="1:27" x14ac:dyDescent="0.3">
      <c r="A10" s="1" t="s">
        <v>98</v>
      </c>
      <c r="B10">
        <v>9</v>
      </c>
      <c r="C10" s="1" t="s">
        <v>99</v>
      </c>
      <c r="D10" s="1" t="s">
        <v>100</v>
      </c>
      <c r="E10" s="1" t="s">
        <v>29</v>
      </c>
      <c r="F10" s="1" t="s">
        <v>101</v>
      </c>
      <c r="G10" s="1" t="s">
        <v>102</v>
      </c>
      <c r="H10" s="1" t="s">
        <v>41</v>
      </c>
      <c r="I10" s="1" t="s">
        <v>32</v>
      </c>
      <c r="J10" s="1" t="s">
        <v>32</v>
      </c>
      <c r="K10" s="1" t="s">
        <v>103</v>
      </c>
      <c r="L10">
        <v>3</v>
      </c>
      <c r="M10">
        <v>0</v>
      </c>
      <c r="N10">
        <v>0</v>
      </c>
      <c r="O10">
        <v>4</v>
      </c>
      <c r="P10">
        <v>3</v>
      </c>
      <c r="Q10">
        <v>0</v>
      </c>
      <c r="R10">
        <v>0</v>
      </c>
      <c r="S10">
        <v>1</v>
      </c>
      <c r="T10">
        <v>1</v>
      </c>
      <c r="U10" s="1" t="s">
        <v>103</v>
      </c>
      <c r="V10" s="1" t="s">
        <v>104</v>
      </c>
      <c r="W10" s="1">
        <f t="shared" si="0"/>
        <v>76.84</v>
      </c>
      <c r="X10" s="1" t="s">
        <v>105</v>
      </c>
      <c r="Y10">
        <v>1</v>
      </c>
      <c r="Z10">
        <v>1</v>
      </c>
      <c r="AA10">
        <v>10</v>
      </c>
    </row>
    <row r="11" spans="1:27" x14ac:dyDescent="0.3">
      <c r="A11" s="1" t="s">
        <v>106</v>
      </c>
      <c r="B11">
        <v>10</v>
      </c>
      <c r="C11" s="1" t="s">
        <v>107</v>
      </c>
      <c r="D11" s="1" t="s">
        <v>108</v>
      </c>
      <c r="E11" s="1" t="s">
        <v>39</v>
      </c>
      <c r="F11" s="1" t="s">
        <v>108</v>
      </c>
      <c r="G11" s="1" t="s">
        <v>108</v>
      </c>
      <c r="H11" s="1" t="s">
        <v>48</v>
      </c>
      <c r="I11" s="1" t="s">
        <v>32</v>
      </c>
      <c r="J11" s="1" t="s">
        <v>74</v>
      </c>
      <c r="K11" s="1" t="s">
        <v>109</v>
      </c>
      <c r="L11">
        <v>1</v>
      </c>
      <c r="M11">
        <v>0</v>
      </c>
      <c r="N11">
        <v>0</v>
      </c>
      <c r="O11">
        <v>5</v>
      </c>
      <c r="P11">
        <v>1</v>
      </c>
      <c r="Q11">
        <v>0</v>
      </c>
      <c r="R11">
        <v>0</v>
      </c>
      <c r="S11">
        <v>1</v>
      </c>
      <c r="T11">
        <v>1</v>
      </c>
      <c r="U11" s="1" t="s">
        <v>110</v>
      </c>
      <c r="V11" s="1" t="s">
        <v>111</v>
      </c>
      <c r="W11" s="1">
        <f t="shared" si="0"/>
        <v>80.229999999999905</v>
      </c>
      <c r="X11" s="1" t="s">
        <v>112</v>
      </c>
      <c r="Y11">
        <v>1</v>
      </c>
      <c r="Z11">
        <v>1</v>
      </c>
      <c r="AA11">
        <v>11</v>
      </c>
    </row>
    <row r="12" spans="1:27" x14ac:dyDescent="0.3">
      <c r="A12" s="1" t="s">
        <v>113</v>
      </c>
      <c r="B12">
        <v>11</v>
      </c>
      <c r="C12" s="1" t="s">
        <v>114</v>
      </c>
      <c r="D12" s="1" t="s">
        <v>115</v>
      </c>
      <c r="E12" s="1" t="s">
        <v>41</v>
      </c>
      <c r="F12" s="1" t="s">
        <v>116</v>
      </c>
      <c r="G12" s="1" t="s">
        <v>117</v>
      </c>
      <c r="H12" s="1" t="s">
        <v>55</v>
      </c>
      <c r="I12" s="1" t="s">
        <v>32</v>
      </c>
      <c r="J12" s="1" t="s">
        <v>29</v>
      </c>
      <c r="K12" s="1" t="s">
        <v>118</v>
      </c>
      <c r="L12">
        <v>1</v>
      </c>
      <c r="M12">
        <v>0</v>
      </c>
      <c r="N12">
        <v>0</v>
      </c>
      <c r="O12">
        <v>6</v>
      </c>
      <c r="P12">
        <v>1</v>
      </c>
      <c r="Q12">
        <v>0</v>
      </c>
      <c r="R12">
        <v>0</v>
      </c>
      <c r="S12">
        <v>1</v>
      </c>
      <c r="T12">
        <v>1</v>
      </c>
      <c r="U12" s="1" t="s">
        <v>119</v>
      </c>
      <c r="V12" s="1" t="s">
        <v>120</v>
      </c>
      <c r="W12" s="1">
        <f t="shared" si="0"/>
        <v>249.39</v>
      </c>
      <c r="X12" s="1" t="s">
        <v>121</v>
      </c>
      <c r="Y12">
        <v>1</v>
      </c>
      <c r="Z12">
        <v>1</v>
      </c>
      <c r="AA12">
        <v>12</v>
      </c>
    </row>
    <row r="13" spans="1:27" x14ac:dyDescent="0.3">
      <c r="A13" s="1" t="s">
        <v>122</v>
      </c>
      <c r="B13">
        <v>12</v>
      </c>
      <c r="C13" s="1" t="s">
        <v>123</v>
      </c>
      <c r="D13" s="1" t="s">
        <v>124</v>
      </c>
      <c r="E13" s="1" t="s">
        <v>32</v>
      </c>
      <c r="F13" s="1" t="s">
        <v>125</v>
      </c>
      <c r="G13" s="1" t="s">
        <v>32</v>
      </c>
      <c r="H13" s="1" t="s">
        <v>63</v>
      </c>
      <c r="I13" s="1" t="s">
        <v>32</v>
      </c>
      <c r="J13" s="1" t="s">
        <v>75</v>
      </c>
      <c r="K13" s="1" t="s">
        <v>126</v>
      </c>
      <c r="L13">
        <v>1</v>
      </c>
      <c r="M13">
        <v>2</v>
      </c>
      <c r="N13">
        <v>1</v>
      </c>
      <c r="O13">
        <v>1</v>
      </c>
      <c r="P13">
        <v>4</v>
      </c>
      <c r="Q13">
        <v>0</v>
      </c>
      <c r="R13">
        <v>0</v>
      </c>
      <c r="S13">
        <v>1</v>
      </c>
      <c r="T13">
        <v>1</v>
      </c>
      <c r="U13" s="1" t="s">
        <v>126</v>
      </c>
      <c r="V13" s="1" t="s">
        <v>127</v>
      </c>
      <c r="W13" s="1">
        <f t="shared" si="0"/>
        <v>47.46</v>
      </c>
      <c r="X13" s="1" t="s">
        <v>128</v>
      </c>
      <c r="Y13">
        <v>1</v>
      </c>
      <c r="Z13">
        <v>1</v>
      </c>
      <c r="AA13">
        <v>13</v>
      </c>
    </row>
    <row r="14" spans="1:27" x14ac:dyDescent="0.3">
      <c r="A14" s="1" t="s">
        <v>129</v>
      </c>
      <c r="B14">
        <v>13</v>
      </c>
      <c r="C14" s="1" t="s">
        <v>130</v>
      </c>
      <c r="D14" s="1" t="s">
        <v>131</v>
      </c>
      <c r="E14" s="1" t="s">
        <v>29</v>
      </c>
      <c r="F14" s="1" t="s">
        <v>131</v>
      </c>
      <c r="G14" s="1" t="s">
        <v>132</v>
      </c>
      <c r="H14" s="1" t="s">
        <v>74</v>
      </c>
      <c r="I14" s="1" t="s">
        <v>32</v>
      </c>
      <c r="J14" s="1" t="s">
        <v>41</v>
      </c>
      <c r="K14" s="1" t="s">
        <v>133</v>
      </c>
      <c r="L14">
        <v>2</v>
      </c>
      <c r="M14">
        <v>0</v>
      </c>
      <c r="N14">
        <v>0</v>
      </c>
      <c r="O14">
        <v>2</v>
      </c>
      <c r="P14">
        <v>2</v>
      </c>
      <c r="Q14">
        <v>0</v>
      </c>
      <c r="R14">
        <v>0</v>
      </c>
      <c r="S14">
        <v>1</v>
      </c>
      <c r="T14">
        <v>1</v>
      </c>
      <c r="U14" s="1" t="s">
        <v>134</v>
      </c>
      <c r="V14" s="1" t="s">
        <v>135</v>
      </c>
      <c r="W14" s="1">
        <f t="shared" si="0"/>
        <v>281.02999999999997</v>
      </c>
      <c r="X14" s="1" t="s">
        <v>136</v>
      </c>
      <c r="Y14">
        <v>1</v>
      </c>
      <c r="Z14">
        <v>1</v>
      </c>
      <c r="AA14">
        <v>14</v>
      </c>
    </row>
    <row r="15" spans="1:27" x14ac:dyDescent="0.3">
      <c r="A15" s="1" t="s">
        <v>137</v>
      </c>
      <c r="B15">
        <v>14</v>
      </c>
      <c r="C15" s="1" t="s">
        <v>138</v>
      </c>
      <c r="D15" s="1" t="s">
        <v>139</v>
      </c>
      <c r="E15" s="1" t="s">
        <v>39</v>
      </c>
      <c r="F15" s="1" t="s">
        <v>140</v>
      </c>
      <c r="G15" s="1" t="s">
        <v>141</v>
      </c>
      <c r="H15" s="1" t="s">
        <v>29</v>
      </c>
      <c r="I15" s="1" t="s">
        <v>32</v>
      </c>
      <c r="J15" s="1" t="s">
        <v>32</v>
      </c>
      <c r="K15" s="1" t="s">
        <v>142</v>
      </c>
      <c r="L15">
        <v>2</v>
      </c>
      <c r="M15">
        <v>0</v>
      </c>
      <c r="N15">
        <v>0</v>
      </c>
      <c r="O15">
        <v>3</v>
      </c>
      <c r="P15">
        <v>2</v>
      </c>
      <c r="Q15">
        <v>0</v>
      </c>
      <c r="R15">
        <v>0</v>
      </c>
      <c r="S15">
        <v>1</v>
      </c>
      <c r="T15">
        <v>1</v>
      </c>
      <c r="U15" s="1" t="s">
        <v>143</v>
      </c>
      <c r="V15" s="1" t="s">
        <v>144</v>
      </c>
      <c r="W15" s="1">
        <f t="shared" si="0"/>
        <v>202.26999999999899</v>
      </c>
      <c r="X15" s="1" t="s">
        <v>145</v>
      </c>
      <c r="Y15">
        <v>1</v>
      </c>
      <c r="Z15">
        <v>1</v>
      </c>
      <c r="AA15">
        <v>15</v>
      </c>
    </row>
    <row r="16" spans="1:27" x14ac:dyDescent="0.3">
      <c r="A16" s="1" t="s">
        <v>146</v>
      </c>
      <c r="B16">
        <v>15</v>
      </c>
      <c r="C16" s="1" t="s">
        <v>147</v>
      </c>
      <c r="D16" s="1" t="s">
        <v>148</v>
      </c>
      <c r="E16" s="1" t="s">
        <v>41</v>
      </c>
      <c r="F16" s="1" t="s">
        <v>149</v>
      </c>
      <c r="G16" s="1" t="s">
        <v>150</v>
      </c>
      <c r="H16" s="1" t="s">
        <v>32</v>
      </c>
      <c r="I16" s="1" t="s">
        <v>32</v>
      </c>
      <c r="J16" s="1" t="s">
        <v>74</v>
      </c>
      <c r="K16" s="1" t="s">
        <v>151</v>
      </c>
      <c r="L16">
        <v>2</v>
      </c>
      <c r="M16">
        <v>0</v>
      </c>
      <c r="N16">
        <v>0</v>
      </c>
      <c r="O16">
        <v>4</v>
      </c>
      <c r="P16">
        <v>2</v>
      </c>
      <c r="Q16">
        <v>0</v>
      </c>
      <c r="R16">
        <v>0</v>
      </c>
      <c r="S16">
        <v>1</v>
      </c>
      <c r="T16">
        <v>1</v>
      </c>
      <c r="U16" s="1" t="s">
        <v>151</v>
      </c>
      <c r="V16" s="1" t="s">
        <v>152</v>
      </c>
      <c r="W16" s="1">
        <f t="shared" si="0"/>
        <v>63.28</v>
      </c>
      <c r="X16" s="1" t="s">
        <v>153</v>
      </c>
      <c r="Y16">
        <v>1</v>
      </c>
      <c r="Z16">
        <v>1</v>
      </c>
      <c r="AA16">
        <v>16</v>
      </c>
    </row>
    <row r="17" spans="1:27" x14ac:dyDescent="0.3">
      <c r="A17" s="1" t="s">
        <v>154</v>
      </c>
      <c r="B17">
        <v>16</v>
      </c>
      <c r="C17" s="1" t="s">
        <v>155</v>
      </c>
      <c r="D17" s="1" t="s">
        <v>156</v>
      </c>
      <c r="E17" s="1" t="s">
        <v>32</v>
      </c>
      <c r="F17" s="1" t="s">
        <v>157</v>
      </c>
      <c r="G17" s="1" t="s">
        <v>158</v>
      </c>
      <c r="H17" s="1" t="s">
        <v>41</v>
      </c>
      <c r="I17" s="1" t="s">
        <v>32</v>
      </c>
      <c r="J17" s="1" t="s">
        <v>29</v>
      </c>
      <c r="K17" s="1" t="s">
        <v>159</v>
      </c>
      <c r="L17">
        <v>3</v>
      </c>
      <c r="M17">
        <v>1</v>
      </c>
      <c r="N17">
        <v>0</v>
      </c>
      <c r="O17">
        <v>5</v>
      </c>
      <c r="P17">
        <v>4</v>
      </c>
      <c r="Q17">
        <v>0</v>
      </c>
      <c r="R17">
        <v>0</v>
      </c>
      <c r="S17">
        <v>1</v>
      </c>
      <c r="T17">
        <v>1</v>
      </c>
      <c r="U17" s="1" t="s">
        <v>160</v>
      </c>
      <c r="V17" s="1" t="s">
        <v>161</v>
      </c>
      <c r="W17" s="1">
        <f t="shared" si="0"/>
        <v>66.67</v>
      </c>
      <c r="X17" s="1" t="s">
        <v>57</v>
      </c>
      <c r="Y17">
        <v>1</v>
      </c>
      <c r="Z17">
        <v>1</v>
      </c>
      <c r="AA17">
        <v>17</v>
      </c>
    </row>
    <row r="18" spans="1:27" x14ac:dyDescent="0.3">
      <c r="A18" s="1" t="s">
        <v>162</v>
      </c>
      <c r="B18">
        <v>17</v>
      </c>
      <c r="C18" s="1" t="s">
        <v>163</v>
      </c>
      <c r="D18" s="1" t="s">
        <v>164</v>
      </c>
      <c r="E18" s="1" t="s">
        <v>29</v>
      </c>
      <c r="F18" s="1" t="s">
        <v>165</v>
      </c>
      <c r="G18" s="1" t="s">
        <v>166</v>
      </c>
      <c r="H18" s="1" t="s">
        <v>48</v>
      </c>
      <c r="I18" s="1" t="s">
        <v>32</v>
      </c>
      <c r="J18" s="1" t="s">
        <v>75</v>
      </c>
      <c r="K18" s="1" t="s">
        <v>167</v>
      </c>
      <c r="L18">
        <v>3</v>
      </c>
      <c r="M18">
        <v>0</v>
      </c>
      <c r="N18">
        <v>0</v>
      </c>
      <c r="O18">
        <v>6</v>
      </c>
      <c r="P18">
        <v>3</v>
      </c>
      <c r="Q18">
        <v>0</v>
      </c>
      <c r="R18">
        <v>0</v>
      </c>
      <c r="S18">
        <v>1</v>
      </c>
      <c r="T18">
        <v>1</v>
      </c>
      <c r="U18" s="1" t="s">
        <v>168</v>
      </c>
      <c r="V18" s="1" t="s">
        <v>169</v>
      </c>
      <c r="W18" s="1">
        <f t="shared" si="0"/>
        <v>270.07</v>
      </c>
      <c r="X18" s="1" t="s">
        <v>170</v>
      </c>
      <c r="Y18">
        <v>1</v>
      </c>
      <c r="Z18">
        <v>1</v>
      </c>
      <c r="AA18">
        <v>18</v>
      </c>
    </row>
    <row r="19" spans="1:27" x14ac:dyDescent="0.3">
      <c r="A19" s="1" t="s">
        <v>171</v>
      </c>
      <c r="B19">
        <v>18</v>
      </c>
      <c r="C19" s="1" t="s">
        <v>172</v>
      </c>
      <c r="D19" s="1" t="s">
        <v>173</v>
      </c>
      <c r="E19" s="1" t="s">
        <v>39</v>
      </c>
      <c r="F19" s="1" t="s">
        <v>174</v>
      </c>
      <c r="G19" s="1" t="s">
        <v>175</v>
      </c>
      <c r="H19" s="1" t="s">
        <v>55</v>
      </c>
      <c r="I19" s="1" t="s">
        <v>32</v>
      </c>
      <c r="J19" s="1" t="s">
        <v>41</v>
      </c>
      <c r="K19" s="1" t="s">
        <v>176</v>
      </c>
      <c r="L19">
        <v>3</v>
      </c>
      <c r="M19">
        <v>2</v>
      </c>
      <c r="N19">
        <v>0</v>
      </c>
      <c r="O19">
        <v>1</v>
      </c>
      <c r="P19">
        <v>5</v>
      </c>
      <c r="Q19">
        <v>0</v>
      </c>
      <c r="R19">
        <v>0</v>
      </c>
      <c r="S19">
        <v>1</v>
      </c>
      <c r="T19">
        <v>1</v>
      </c>
      <c r="U19" s="1" t="s">
        <v>176</v>
      </c>
      <c r="V19" s="1" t="s">
        <v>177</v>
      </c>
      <c r="W19" s="1">
        <f t="shared" si="0"/>
        <v>61.02</v>
      </c>
      <c r="X19" s="1" t="s">
        <v>178</v>
      </c>
      <c r="Y19">
        <v>1</v>
      </c>
      <c r="Z19">
        <v>1</v>
      </c>
      <c r="AA19">
        <v>19</v>
      </c>
    </row>
    <row r="20" spans="1:27" x14ac:dyDescent="0.3">
      <c r="A20" s="1" t="s">
        <v>179</v>
      </c>
      <c r="B20">
        <v>19</v>
      </c>
      <c r="C20" s="1" t="s">
        <v>180</v>
      </c>
      <c r="D20" s="1" t="s">
        <v>181</v>
      </c>
      <c r="E20" s="1" t="s">
        <v>41</v>
      </c>
      <c r="F20" s="1" t="s">
        <v>181</v>
      </c>
      <c r="G20" s="1" t="s">
        <v>181</v>
      </c>
      <c r="H20" s="1" t="s">
        <v>63</v>
      </c>
      <c r="I20" s="1" t="s">
        <v>32</v>
      </c>
      <c r="J20" s="1" t="s">
        <v>32</v>
      </c>
      <c r="K20" s="1" t="s">
        <v>182</v>
      </c>
      <c r="L20">
        <v>3</v>
      </c>
      <c r="M20">
        <v>0</v>
      </c>
      <c r="N20">
        <v>0</v>
      </c>
      <c r="O20">
        <v>2</v>
      </c>
      <c r="P20">
        <v>3</v>
      </c>
      <c r="Q20">
        <v>0</v>
      </c>
      <c r="R20">
        <v>0</v>
      </c>
      <c r="S20">
        <v>1</v>
      </c>
      <c r="T20">
        <v>1</v>
      </c>
      <c r="U20" s="1" t="s">
        <v>183</v>
      </c>
      <c r="V20" s="1" t="s">
        <v>184</v>
      </c>
      <c r="W20" s="1">
        <f t="shared" si="0"/>
        <v>265.77999999999997</v>
      </c>
      <c r="X20" s="1" t="s">
        <v>88</v>
      </c>
      <c r="Y20">
        <v>1</v>
      </c>
      <c r="Z20">
        <v>1</v>
      </c>
      <c r="AA20">
        <v>20</v>
      </c>
    </row>
    <row r="21" spans="1:27" x14ac:dyDescent="0.3">
      <c r="A21" s="1" t="s">
        <v>185</v>
      </c>
      <c r="B21">
        <v>20</v>
      </c>
      <c r="C21" s="1" t="s">
        <v>186</v>
      </c>
      <c r="D21" s="1" t="s">
        <v>187</v>
      </c>
      <c r="E21" s="1" t="s">
        <v>32</v>
      </c>
      <c r="F21" s="1" t="s">
        <v>188</v>
      </c>
      <c r="G21" s="1" t="s">
        <v>189</v>
      </c>
      <c r="H21" s="1" t="s">
        <v>74</v>
      </c>
      <c r="I21" s="1" t="s">
        <v>32</v>
      </c>
      <c r="J21" s="1" t="s">
        <v>74</v>
      </c>
      <c r="K21" s="1" t="s">
        <v>190</v>
      </c>
      <c r="L21">
        <v>1</v>
      </c>
      <c r="M21">
        <v>1</v>
      </c>
      <c r="N21">
        <v>0</v>
      </c>
      <c r="O21">
        <v>3</v>
      </c>
      <c r="P21">
        <v>2</v>
      </c>
      <c r="Q21">
        <v>0</v>
      </c>
      <c r="R21">
        <v>0</v>
      </c>
      <c r="S21">
        <v>1</v>
      </c>
      <c r="T21">
        <v>1</v>
      </c>
      <c r="U21" s="1" t="s">
        <v>191</v>
      </c>
      <c r="V21" s="1" t="s">
        <v>192</v>
      </c>
      <c r="W21" s="1">
        <f t="shared" si="0"/>
        <v>220.58</v>
      </c>
      <c r="X21" s="1" t="s">
        <v>193</v>
      </c>
      <c r="Y21">
        <v>1</v>
      </c>
      <c r="Z21">
        <v>1</v>
      </c>
      <c r="AA21">
        <v>21</v>
      </c>
    </row>
    <row r="22" spans="1:27" x14ac:dyDescent="0.3">
      <c r="A22" s="1" t="s">
        <v>194</v>
      </c>
      <c r="B22">
        <v>21</v>
      </c>
      <c r="C22" s="1" t="s">
        <v>195</v>
      </c>
      <c r="D22" s="1" t="s">
        <v>196</v>
      </c>
      <c r="E22" s="1" t="s">
        <v>29</v>
      </c>
      <c r="F22" s="1" t="s">
        <v>197</v>
      </c>
      <c r="G22" s="1" t="s">
        <v>196</v>
      </c>
      <c r="H22" s="1" t="s">
        <v>29</v>
      </c>
      <c r="I22" s="1" t="s">
        <v>33</v>
      </c>
      <c r="J22" s="1" t="s">
        <v>33</v>
      </c>
      <c r="K22" s="1" t="s">
        <v>34</v>
      </c>
      <c r="L22">
        <v>1</v>
      </c>
      <c r="M22">
        <v>0</v>
      </c>
      <c r="N22">
        <v>0</v>
      </c>
      <c r="O22">
        <v>4</v>
      </c>
      <c r="P22">
        <v>1</v>
      </c>
      <c r="Q22">
        <v>1</v>
      </c>
      <c r="R22">
        <v>0</v>
      </c>
      <c r="S22">
        <v>0</v>
      </c>
      <c r="T22">
        <v>0</v>
      </c>
      <c r="U22" s="1" t="s">
        <v>198</v>
      </c>
      <c r="V22" s="1">
        <v>0</v>
      </c>
      <c r="W22" s="1">
        <f t="shared" si="0"/>
        <v>0</v>
      </c>
      <c r="X22" s="1" t="s">
        <v>198</v>
      </c>
      <c r="Y22">
        <v>1</v>
      </c>
      <c r="Z22">
        <v>0</v>
      </c>
      <c r="AA22">
        <v>22</v>
      </c>
    </row>
    <row r="23" spans="1:27" x14ac:dyDescent="0.3">
      <c r="A23" s="1" t="s">
        <v>199</v>
      </c>
      <c r="B23">
        <v>22</v>
      </c>
      <c r="C23" s="1" t="s">
        <v>200</v>
      </c>
      <c r="D23" s="1" t="s">
        <v>201</v>
      </c>
      <c r="E23" s="1" t="s">
        <v>39</v>
      </c>
      <c r="F23" s="1" t="s">
        <v>202</v>
      </c>
      <c r="G23" s="1" t="s">
        <v>203</v>
      </c>
      <c r="H23" s="1" t="s">
        <v>32</v>
      </c>
      <c r="I23" s="1" t="s">
        <v>33</v>
      </c>
      <c r="J23" s="1" t="s">
        <v>33</v>
      </c>
      <c r="K23" s="1" t="s">
        <v>34</v>
      </c>
      <c r="L23">
        <v>1</v>
      </c>
      <c r="M23">
        <v>0</v>
      </c>
      <c r="N23">
        <v>0</v>
      </c>
      <c r="O23">
        <v>5</v>
      </c>
      <c r="P23">
        <v>1</v>
      </c>
      <c r="Q23">
        <v>1</v>
      </c>
      <c r="R23">
        <v>0</v>
      </c>
      <c r="S23">
        <v>0</v>
      </c>
      <c r="T23">
        <v>0</v>
      </c>
      <c r="U23" s="1" t="s">
        <v>204</v>
      </c>
      <c r="V23" s="1">
        <v>0</v>
      </c>
      <c r="W23" s="1">
        <f t="shared" si="0"/>
        <v>0</v>
      </c>
      <c r="X23" s="1" t="s">
        <v>204</v>
      </c>
      <c r="Y23">
        <v>1</v>
      </c>
      <c r="Z23">
        <v>0</v>
      </c>
      <c r="AA23">
        <v>23</v>
      </c>
    </row>
    <row r="24" spans="1:27" x14ac:dyDescent="0.3">
      <c r="A24" s="1" t="s">
        <v>205</v>
      </c>
      <c r="B24">
        <v>23</v>
      </c>
      <c r="C24" s="1" t="s">
        <v>206</v>
      </c>
      <c r="D24" s="1" t="s">
        <v>207</v>
      </c>
      <c r="E24" s="1" t="s">
        <v>41</v>
      </c>
      <c r="F24" s="1" t="s">
        <v>45</v>
      </c>
      <c r="G24" s="1" t="s">
        <v>208</v>
      </c>
      <c r="H24" s="1" t="s">
        <v>41</v>
      </c>
      <c r="I24" s="1" t="s">
        <v>33</v>
      </c>
      <c r="J24" s="1" t="s">
        <v>33</v>
      </c>
      <c r="K24" s="1" t="s">
        <v>34</v>
      </c>
      <c r="L24">
        <v>2</v>
      </c>
      <c r="M24">
        <v>0</v>
      </c>
      <c r="N24">
        <v>0</v>
      </c>
      <c r="O24">
        <v>6</v>
      </c>
      <c r="P24">
        <v>2</v>
      </c>
      <c r="Q24">
        <v>1</v>
      </c>
      <c r="R24">
        <v>0</v>
      </c>
      <c r="S24">
        <v>0</v>
      </c>
      <c r="T24">
        <v>0</v>
      </c>
      <c r="U24" s="1" t="s">
        <v>121</v>
      </c>
      <c r="V24" s="1">
        <v>0</v>
      </c>
      <c r="W24" s="1">
        <f t="shared" si="0"/>
        <v>0</v>
      </c>
      <c r="X24" s="1" t="s">
        <v>121</v>
      </c>
      <c r="Y24">
        <v>1</v>
      </c>
      <c r="Z24">
        <v>0</v>
      </c>
      <c r="AA24">
        <v>24</v>
      </c>
    </row>
    <row r="25" spans="1:27" x14ac:dyDescent="0.3">
      <c r="A25" s="1" t="s">
        <v>209</v>
      </c>
      <c r="B25">
        <v>24</v>
      </c>
      <c r="C25" s="1" t="s">
        <v>210</v>
      </c>
      <c r="D25" s="1" t="s">
        <v>54</v>
      </c>
      <c r="E25" s="1" t="s">
        <v>32</v>
      </c>
      <c r="F25" s="1" t="s">
        <v>211</v>
      </c>
      <c r="G25" s="1" t="s">
        <v>212</v>
      </c>
      <c r="H25" s="1" t="s">
        <v>48</v>
      </c>
      <c r="I25" s="1" t="s">
        <v>56</v>
      </c>
      <c r="J25" s="1" t="s">
        <v>33</v>
      </c>
      <c r="K25" s="1" t="s">
        <v>34</v>
      </c>
      <c r="L25">
        <v>2</v>
      </c>
      <c r="M25">
        <v>2</v>
      </c>
      <c r="N25">
        <v>1</v>
      </c>
      <c r="O25">
        <v>1</v>
      </c>
      <c r="P25">
        <v>5</v>
      </c>
      <c r="Q25">
        <v>0</v>
      </c>
      <c r="R25">
        <v>1</v>
      </c>
      <c r="S25">
        <v>0</v>
      </c>
      <c r="T25">
        <v>0</v>
      </c>
      <c r="U25" s="1" t="s">
        <v>128</v>
      </c>
      <c r="V25" s="1">
        <v>0</v>
      </c>
      <c r="W25" s="1">
        <f t="shared" si="0"/>
        <v>0</v>
      </c>
      <c r="X25" s="1" t="s">
        <v>128</v>
      </c>
      <c r="Y25">
        <v>1</v>
      </c>
      <c r="Z25">
        <v>0</v>
      </c>
      <c r="AA25">
        <v>25</v>
      </c>
    </row>
    <row r="26" spans="1:27" x14ac:dyDescent="0.3">
      <c r="A26" s="1" t="s">
        <v>213</v>
      </c>
      <c r="B26">
        <v>25</v>
      </c>
      <c r="C26" s="1" t="s">
        <v>214</v>
      </c>
      <c r="D26" s="1" t="s">
        <v>62</v>
      </c>
      <c r="E26" s="1" t="s">
        <v>29</v>
      </c>
      <c r="F26" s="1" t="s">
        <v>215</v>
      </c>
      <c r="G26" s="1" t="s">
        <v>216</v>
      </c>
      <c r="H26" s="1" t="s">
        <v>55</v>
      </c>
      <c r="I26" s="1" t="s">
        <v>64</v>
      </c>
      <c r="J26" s="1" t="s">
        <v>75</v>
      </c>
      <c r="K26" s="1" t="s">
        <v>217</v>
      </c>
      <c r="L26">
        <v>2</v>
      </c>
      <c r="M26">
        <v>0</v>
      </c>
      <c r="N26">
        <v>0</v>
      </c>
      <c r="O26">
        <v>2</v>
      </c>
      <c r="P26">
        <v>2</v>
      </c>
      <c r="Q26">
        <v>0</v>
      </c>
      <c r="R26">
        <v>0</v>
      </c>
      <c r="S26">
        <v>0</v>
      </c>
      <c r="T26">
        <v>0</v>
      </c>
      <c r="U26" s="1" t="s">
        <v>218</v>
      </c>
      <c r="V26" s="1" t="s">
        <v>219</v>
      </c>
      <c r="W26" s="1">
        <f t="shared" si="0"/>
        <v>206.79</v>
      </c>
      <c r="X26" s="1" t="s">
        <v>220</v>
      </c>
      <c r="Y26">
        <v>1</v>
      </c>
      <c r="Z26">
        <v>0</v>
      </c>
      <c r="AA26">
        <v>26</v>
      </c>
    </row>
    <row r="27" spans="1:27" x14ac:dyDescent="0.3">
      <c r="A27" s="1" t="s">
        <v>221</v>
      </c>
      <c r="B27">
        <v>26</v>
      </c>
      <c r="C27" s="1" t="s">
        <v>222</v>
      </c>
      <c r="D27" s="1" t="s">
        <v>73</v>
      </c>
      <c r="E27" s="1" t="s">
        <v>39</v>
      </c>
      <c r="F27" s="1" t="s">
        <v>71</v>
      </c>
      <c r="G27" s="1" t="s">
        <v>223</v>
      </c>
      <c r="H27" s="1" t="s">
        <v>63</v>
      </c>
      <c r="I27" s="1" t="s">
        <v>64</v>
      </c>
      <c r="J27" s="1" t="s">
        <v>41</v>
      </c>
      <c r="K27" s="1" t="s">
        <v>224</v>
      </c>
      <c r="L27">
        <v>3</v>
      </c>
      <c r="M27">
        <v>0</v>
      </c>
      <c r="N27">
        <v>0</v>
      </c>
      <c r="O27">
        <v>3</v>
      </c>
      <c r="P27">
        <v>3</v>
      </c>
      <c r="Q27">
        <v>0</v>
      </c>
      <c r="R27">
        <v>0</v>
      </c>
      <c r="S27">
        <v>0</v>
      </c>
      <c r="T27">
        <v>0</v>
      </c>
      <c r="U27" s="1" t="s">
        <v>225</v>
      </c>
      <c r="V27" s="1" t="s">
        <v>226</v>
      </c>
      <c r="W27" s="1">
        <f t="shared" si="0"/>
        <v>94.92</v>
      </c>
      <c r="X27" s="1" t="s">
        <v>227</v>
      </c>
      <c r="Y27">
        <v>1</v>
      </c>
      <c r="Z27">
        <v>0</v>
      </c>
      <c r="AA27">
        <v>27</v>
      </c>
    </row>
    <row r="28" spans="1:27" x14ac:dyDescent="0.3">
      <c r="A28" s="1" t="s">
        <v>228</v>
      </c>
      <c r="B28">
        <v>27</v>
      </c>
      <c r="C28" s="1" t="s">
        <v>229</v>
      </c>
      <c r="D28" s="1" t="s">
        <v>230</v>
      </c>
      <c r="E28" s="1" t="s">
        <v>41</v>
      </c>
      <c r="F28" s="1" t="s">
        <v>230</v>
      </c>
      <c r="G28" s="1" t="s">
        <v>230</v>
      </c>
      <c r="H28" s="1" t="s">
        <v>74</v>
      </c>
      <c r="I28" s="1" t="s">
        <v>32</v>
      </c>
      <c r="J28" s="1" t="s">
        <v>41</v>
      </c>
      <c r="K28" s="1" t="s">
        <v>231</v>
      </c>
      <c r="L28">
        <v>3</v>
      </c>
      <c r="M28">
        <v>0</v>
      </c>
      <c r="N28">
        <v>0</v>
      </c>
      <c r="O28">
        <v>4</v>
      </c>
      <c r="P28">
        <v>3</v>
      </c>
      <c r="Q28">
        <v>0</v>
      </c>
      <c r="R28">
        <v>0</v>
      </c>
      <c r="S28">
        <v>1</v>
      </c>
      <c r="T28">
        <v>1</v>
      </c>
      <c r="U28" s="1" t="s">
        <v>231</v>
      </c>
      <c r="V28" s="1" t="s">
        <v>232</v>
      </c>
      <c r="W28" s="1">
        <f t="shared" si="0"/>
        <v>56.95</v>
      </c>
      <c r="X28" s="1" t="s">
        <v>233</v>
      </c>
      <c r="Y28">
        <v>1</v>
      </c>
      <c r="Z28">
        <v>1</v>
      </c>
      <c r="AA28">
        <v>28</v>
      </c>
    </row>
    <row r="29" spans="1:27" x14ac:dyDescent="0.3">
      <c r="A29" s="1" t="s">
        <v>234</v>
      </c>
      <c r="B29">
        <v>28</v>
      </c>
      <c r="C29" s="1" t="s">
        <v>235</v>
      </c>
      <c r="D29" s="1" t="s">
        <v>236</v>
      </c>
      <c r="E29" s="1" t="s">
        <v>32</v>
      </c>
      <c r="F29" s="1" t="s">
        <v>237</v>
      </c>
      <c r="G29" s="1" t="s">
        <v>238</v>
      </c>
      <c r="H29" s="1" t="s">
        <v>29</v>
      </c>
      <c r="I29" s="1" t="s">
        <v>32</v>
      </c>
      <c r="J29" s="1" t="s">
        <v>32</v>
      </c>
      <c r="K29" s="1" t="s">
        <v>159</v>
      </c>
      <c r="L29">
        <v>3</v>
      </c>
      <c r="M29">
        <v>1</v>
      </c>
      <c r="N29">
        <v>0</v>
      </c>
      <c r="O29">
        <v>5</v>
      </c>
      <c r="P29">
        <v>4</v>
      </c>
      <c r="Q29">
        <v>0</v>
      </c>
      <c r="R29">
        <v>0</v>
      </c>
      <c r="S29">
        <v>1</v>
      </c>
      <c r="T29">
        <v>1</v>
      </c>
      <c r="U29" s="1" t="s">
        <v>160</v>
      </c>
      <c r="V29" s="1" t="s">
        <v>161</v>
      </c>
      <c r="W29" s="1">
        <f t="shared" si="0"/>
        <v>66.67</v>
      </c>
      <c r="X29" s="1" t="s">
        <v>57</v>
      </c>
      <c r="Y29">
        <v>1</v>
      </c>
      <c r="Z29">
        <v>1</v>
      </c>
      <c r="AA29">
        <v>29</v>
      </c>
    </row>
    <row r="30" spans="1:27" x14ac:dyDescent="0.3">
      <c r="A30" s="1" t="s">
        <v>239</v>
      </c>
      <c r="B30">
        <v>29</v>
      </c>
      <c r="C30" s="1" t="s">
        <v>240</v>
      </c>
      <c r="D30" s="1" t="s">
        <v>241</v>
      </c>
      <c r="E30" s="1" t="s">
        <v>29</v>
      </c>
      <c r="F30" s="1" t="s">
        <v>102</v>
      </c>
      <c r="G30" s="1" t="s">
        <v>242</v>
      </c>
      <c r="H30" s="1" t="s">
        <v>32</v>
      </c>
      <c r="I30" s="1" t="s">
        <v>32</v>
      </c>
      <c r="J30" s="1" t="s">
        <v>74</v>
      </c>
      <c r="K30" s="1" t="s">
        <v>167</v>
      </c>
      <c r="L30">
        <v>3</v>
      </c>
      <c r="M30">
        <v>0</v>
      </c>
      <c r="N30">
        <v>0</v>
      </c>
      <c r="O30">
        <v>6</v>
      </c>
      <c r="P30">
        <v>3</v>
      </c>
      <c r="Q30">
        <v>0</v>
      </c>
      <c r="R30">
        <v>0</v>
      </c>
      <c r="S30">
        <v>1</v>
      </c>
      <c r="T30">
        <v>1</v>
      </c>
      <c r="U30" s="1" t="s">
        <v>168</v>
      </c>
      <c r="V30" s="1" t="s">
        <v>169</v>
      </c>
      <c r="W30" s="1">
        <f t="shared" si="0"/>
        <v>270.07</v>
      </c>
      <c r="X30" s="1" t="s">
        <v>170</v>
      </c>
      <c r="Y30">
        <v>1</v>
      </c>
      <c r="Z30">
        <v>1</v>
      </c>
      <c r="AA30">
        <v>30</v>
      </c>
    </row>
    <row r="31" spans="1:27" x14ac:dyDescent="0.3">
      <c r="A31" s="1" t="s">
        <v>243</v>
      </c>
      <c r="B31">
        <v>30</v>
      </c>
      <c r="C31" s="1" t="s">
        <v>244</v>
      </c>
      <c r="D31" s="1" t="s">
        <v>245</v>
      </c>
      <c r="E31" s="1" t="s">
        <v>39</v>
      </c>
      <c r="F31" s="1" t="s">
        <v>245</v>
      </c>
      <c r="G31" s="1" t="s">
        <v>75</v>
      </c>
      <c r="H31" s="1" t="s">
        <v>41</v>
      </c>
      <c r="I31" s="1" t="s">
        <v>32</v>
      </c>
      <c r="J31" s="1" t="s">
        <v>29</v>
      </c>
      <c r="K31" s="1" t="s">
        <v>246</v>
      </c>
      <c r="L31">
        <v>1</v>
      </c>
      <c r="M31">
        <v>2</v>
      </c>
      <c r="N31">
        <v>0</v>
      </c>
      <c r="O31">
        <v>1</v>
      </c>
      <c r="P31">
        <v>3</v>
      </c>
      <c r="Q31">
        <v>0</v>
      </c>
      <c r="R31">
        <v>0</v>
      </c>
      <c r="S31">
        <v>1</v>
      </c>
      <c r="T31">
        <v>1</v>
      </c>
      <c r="U31" s="1" t="s">
        <v>246</v>
      </c>
      <c r="V31" s="1" t="s">
        <v>177</v>
      </c>
      <c r="W31" s="1">
        <f t="shared" si="0"/>
        <v>61.02</v>
      </c>
      <c r="X31" s="1" t="s">
        <v>247</v>
      </c>
      <c r="Y31">
        <v>1</v>
      </c>
      <c r="Z31">
        <v>1</v>
      </c>
      <c r="AA31">
        <v>31</v>
      </c>
    </row>
    <row r="32" spans="1:27" x14ac:dyDescent="0.3">
      <c r="A32" s="1" t="s">
        <v>248</v>
      </c>
      <c r="B32">
        <v>31</v>
      </c>
      <c r="C32" s="1" t="s">
        <v>249</v>
      </c>
      <c r="D32" s="1" t="s">
        <v>250</v>
      </c>
      <c r="E32" s="1" t="s">
        <v>41</v>
      </c>
      <c r="F32" s="1" t="s">
        <v>250</v>
      </c>
      <c r="G32" s="1" t="s">
        <v>251</v>
      </c>
      <c r="H32" s="1" t="s">
        <v>48</v>
      </c>
      <c r="I32" s="1" t="s">
        <v>32</v>
      </c>
      <c r="J32" s="1" t="s">
        <v>75</v>
      </c>
      <c r="K32" s="1" t="s">
        <v>85</v>
      </c>
      <c r="L32">
        <v>1</v>
      </c>
      <c r="M32">
        <v>0</v>
      </c>
      <c r="N32">
        <v>0</v>
      </c>
      <c r="O32">
        <v>2</v>
      </c>
      <c r="P32">
        <v>1</v>
      </c>
      <c r="Q32">
        <v>0</v>
      </c>
      <c r="R32">
        <v>0</v>
      </c>
      <c r="S32">
        <v>1</v>
      </c>
      <c r="T32">
        <v>1</v>
      </c>
      <c r="U32" s="1" t="s">
        <v>86</v>
      </c>
      <c r="V32" s="1" t="s">
        <v>87</v>
      </c>
      <c r="W32" s="1">
        <f t="shared" si="0"/>
        <v>274.58999999999997</v>
      </c>
      <c r="X32" s="1" t="s">
        <v>88</v>
      </c>
      <c r="Y32">
        <v>1</v>
      </c>
      <c r="Z32">
        <v>1</v>
      </c>
      <c r="AA32">
        <v>32</v>
      </c>
    </row>
    <row r="33" spans="1:27" x14ac:dyDescent="0.3">
      <c r="A33" s="1" t="s">
        <v>252</v>
      </c>
      <c r="B33">
        <v>32</v>
      </c>
      <c r="C33" s="1" t="s">
        <v>253</v>
      </c>
      <c r="D33" s="1" t="s">
        <v>32</v>
      </c>
      <c r="E33" s="1" t="s">
        <v>32</v>
      </c>
      <c r="F33" s="1" t="s">
        <v>124</v>
      </c>
      <c r="G33" s="1" t="s">
        <v>254</v>
      </c>
      <c r="H33" s="1" t="s">
        <v>55</v>
      </c>
      <c r="I33" s="1" t="s">
        <v>32</v>
      </c>
      <c r="J33" s="1" t="s">
        <v>41</v>
      </c>
      <c r="K33" s="1" t="s">
        <v>255</v>
      </c>
      <c r="L33">
        <v>1</v>
      </c>
      <c r="M33">
        <v>1</v>
      </c>
      <c r="N33">
        <v>0</v>
      </c>
      <c r="O33">
        <v>3</v>
      </c>
      <c r="P33">
        <v>2</v>
      </c>
      <c r="Q33">
        <v>0</v>
      </c>
      <c r="R33">
        <v>0</v>
      </c>
      <c r="S33">
        <v>1</v>
      </c>
      <c r="T33">
        <v>1</v>
      </c>
      <c r="U33" s="1" t="s">
        <v>256</v>
      </c>
      <c r="V33" s="1" t="s">
        <v>257</v>
      </c>
      <c r="W33" s="1">
        <f t="shared" si="0"/>
        <v>222.95</v>
      </c>
      <c r="X33" s="1" t="s">
        <v>97</v>
      </c>
      <c r="Y33">
        <v>1</v>
      </c>
      <c r="Z33">
        <v>1</v>
      </c>
      <c r="AA33">
        <v>33</v>
      </c>
    </row>
    <row r="34" spans="1:27" x14ac:dyDescent="0.3">
      <c r="A34" s="1" t="s">
        <v>258</v>
      </c>
      <c r="B34">
        <v>33</v>
      </c>
      <c r="C34" s="1" t="s">
        <v>259</v>
      </c>
      <c r="D34" s="1" t="s">
        <v>260</v>
      </c>
      <c r="E34" s="1" t="s">
        <v>29</v>
      </c>
      <c r="F34" s="1" t="s">
        <v>261</v>
      </c>
      <c r="G34" s="1" t="s">
        <v>262</v>
      </c>
      <c r="H34" s="1" t="s">
        <v>63</v>
      </c>
      <c r="I34" s="1" t="s">
        <v>32</v>
      </c>
      <c r="J34" s="1" t="s">
        <v>32</v>
      </c>
      <c r="K34" s="1" t="s">
        <v>263</v>
      </c>
      <c r="L34">
        <v>2</v>
      </c>
      <c r="M34">
        <v>0</v>
      </c>
      <c r="N34">
        <v>0</v>
      </c>
      <c r="O34">
        <v>4</v>
      </c>
      <c r="P34">
        <v>2</v>
      </c>
      <c r="Q34">
        <v>0</v>
      </c>
      <c r="R34">
        <v>0</v>
      </c>
      <c r="S34">
        <v>1</v>
      </c>
      <c r="T34">
        <v>1</v>
      </c>
      <c r="U34" s="1" t="s">
        <v>263</v>
      </c>
      <c r="V34" s="1" t="s">
        <v>104</v>
      </c>
      <c r="W34" s="1">
        <f t="shared" si="0"/>
        <v>76.84</v>
      </c>
      <c r="X34" s="1" t="s">
        <v>264</v>
      </c>
      <c r="Y34">
        <v>1</v>
      </c>
      <c r="Z34">
        <v>1</v>
      </c>
      <c r="AA34">
        <v>34</v>
      </c>
    </row>
    <row r="35" spans="1:27" x14ac:dyDescent="0.3">
      <c r="A35" s="1" t="s">
        <v>265</v>
      </c>
      <c r="B35">
        <v>34</v>
      </c>
      <c r="C35" s="1" t="s">
        <v>266</v>
      </c>
      <c r="D35" s="1" t="s">
        <v>267</v>
      </c>
      <c r="E35" s="1" t="s">
        <v>39</v>
      </c>
      <c r="F35" s="1" t="s">
        <v>267</v>
      </c>
      <c r="G35" s="1" t="s">
        <v>267</v>
      </c>
      <c r="H35" s="1" t="s">
        <v>74</v>
      </c>
      <c r="I35" s="1" t="s">
        <v>32</v>
      </c>
      <c r="J35" s="1" t="s">
        <v>74</v>
      </c>
      <c r="K35" s="1" t="s">
        <v>268</v>
      </c>
      <c r="L35">
        <v>2</v>
      </c>
      <c r="M35">
        <v>0</v>
      </c>
      <c r="N35">
        <v>0</v>
      </c>
      <c r="O35">
        <v>5</v>
      </c>
      <c r="P35">
        <v>2</v>
      </c>
      <c r="Q35">
        <v>0</v>
      </c>
      <c r="R35">
        <v>0</v>
      </c>
      <c r="S35">
        <v>1</v>
      </c>
      <c r="T35">
        <v>1</v>
      </c>
      <c r="U35" s="1" t="s">
        <v>269</v>
      </c>
      <c r="V35" s="1" t="s">
        <v>270</v>
      </c>
      <c r="W35" s="1">
        <f t="shared" si="0"/>
        <v>73.789999999999907</v>
      </c>
      <c r="X35" s="1" t="s">
        <v>204</v>
      </c>
      <c r="Y35">
        <v>1</v>
      </c>
      <c r="Z35">
        <v>1</v>
      </c>
      <c r="AA35">
        <v>35</v>
      </c>
    </row>
    <row r="36" spans="1:27" x14ac:dyDescent="0.3">
      <c r="A36" s="1" t="s">
        <v>271</v>
      </c>
      <c r="B36">
        <v>35</v>
      </c>
      <c r="C36" s="1" t="s">
        <v>272</v>
      </c>
      <c r="D36" s="1" t="s">
        <v>273</v>
      </c>
      <c r="E36" s="1" t="s">
        <v>41</v>
      </c>
      <c r="F36" s="1" t="s">
        <v>273</v>
      </c>
      <c r="G36" s="1" t="s">
        <v>273</v>
      </c>
      <c r="H36" s="1" t="s">
        <v>29</v>
      </c>
      <c r="I36" s="1" t="s">
        <v>32</v>
      </c>
      <c r="J36" s="1" t="s">
        <v>29</v>
      </c>
      <c r="K36" s="1" t="s">
        <v>274</v>
      </c>
      <c r="L36">
        <v>2</v>
      </c>
      <c r="M36">
        <v>0</v>
      </c>
      <c r="N36">
        <v>0</v>
      </c>
      <c r="O36">
        <v>6</v>
      </c>
      <c r="P36">
        <v>2</v>
      </c>
      <c r="Q36">
        <v>0</v>
      </c>
      <c r="R36">
        <v>0</v>
      </c>
      <c r="S36">
        <v>1</v>
      </c>
      <c r="T36">
        <v>1</v>
      </c>
      <c r="U36" s="1" t="s">
        <v>275</v>
      </c>
      <c r="V36" s="1" t="s">
        <v>169</v>
      </c>
      <c r="W36" s="1">
        <f t="shared" si="0"/>
        <v>270.07</v>
      </c>
      <c r="X36" s="1" t="s">
        <v>276</v>
      </c>
      <c r="Y36">
        <v>1</v>
      </c>
      <c r="Z36">
        <v>1</v>
      </c>
      <c r="AA36">
        <v>36</v>
      </c>
    </row>
    <row r="37" spans="1:27" x14ac:dyDescent="0.3">
      <c r="A37" s="1" t="s">
        <v>277</v>
      </c>
      <c r="B37">
        <v>36</v>
      </c>
      <c r="C37" s="1" t="s">
        <v>278</v>
      </c>
      <c r="D37" s="1" t="s">
        <v>279</v>
      </c>
      <c r="E37" s="1" t="s">
        <v>32</v>
      </c>
      <c r="F37" s="1" t="s">
        <v>279</v>
      </c>
      <c r="G37" s="1" t="s">
        <v>280</v>
      </c>
      <c r="H37" s="1" t="s">
        <v>32</v>
      </c>
      <c r="I37" s="1" t="s">
        <v>32</v>
      </c>
      <c r="J37" s="1" t="s">
        <v>75</v>
      </c>
      <c r="K37" s="1" t="s">
        <v>281</v>
      </c>
      <c r="L37">
        <v>3</v>
      </c>
      <c r="M37">
        <v>2</v>
      </c>
      <c r="N37">
        <v>1</v>
      </c>
      <c r="O37">
        <v>1</v>
      </c>
      <c r="P37">
        <v>6</v>
      </c>
      <c r="Q37">
        <v>0</v>
      </c>
      <c r="R37">
        <v>0</v>
      </c>
      <c r="S37">
        <v>1</v>
      </c>
      <c r="T37">
        <v>1</v>
      </c>
      <c r="U37" s="1" t="s">
        <v>281</v>
      </c>
      <c r="V37" s="1" t="s">
        <v>127</v>
      </c>
      <c r="W37" s="1">
        <f t="shared" si="0"/>
        <v>47.46</v>
      </c>
      <c r="X37" s="1" t="s">
        <v>282</v>
      </c>
      <c r="Y37">
        <v>1</v>
      </c>
      <c r="Z37">
        <v>1</v>
      </c>
      <c r="AA37">
        <v>37</v>
      </c>
    </row>
    <row r="38" spans="1:27" x14ac:dyDescent="0.3">
      <c r="A38" s="1" t="s">
        <v>283</v>
      </c>
      <c r="B38">
        <v>37</v>
      </c>
      <c r="C38" s="1" t="s">
        <v>284</v>
      </c>
      <c r="D38" s="1" t="s">
        <v>166</v>
      </c>
      <c r="E38" s="1" t="s">
        <v>29</v>
      </c>
      <c r="F38" s="1" t="s">
        <v>164</v>
      </c>
      <c r="G38" s="1" t="s">
        <v>285</v>
      </c>
      <c r="H38" s="1" t="s">
        <v>41</v>
      </c>
      <c r="I38" s="1" t="s">
        <v>32</v>
      </c>
      <c r="J38" s="1" t="s">
        <v>41</v>
      </c>
      <c r="K38" s="1" t="s">
        <v>286</v>
      </c>
      <c r="L38">
        <v>3</v>
      </c>
      <c r="M38">
        <v>0</v>
      </c>
      <c r="N38">
        <v>0</v>
      </c>
      <c r="O38">
        <v>2</v>
      </c>
      <c r="P38">
        <v>3</v>
      </c>
      <c r="Q38">
        <v>0</v>
      </c>
      <c r="R38">
        <v>0</v>
      </c>
      <c r="S38">
        <v>1</v>
      </c>
      <c r="T38">
        <v>1</v>
      </c>
      <c r="U38" s="1" t="s">
        <v>287</v>
      </c>
      <c r="V38" s="1" t="s">
        <v>288</v>
      </c>
      <c r="W38" s="1">
        <f t="shared" si="0"/>
        <v>301.70999999999998</v>
      </c>
      <c r="X38" s="1" t="s">
        <v>289</v>
      </c>
      <c r="Y38">
        <v>1</v>
      </c>
      <c r="Z38">
        <v>1</v>
      </c>
      <c r="AA38">
        <v>38</v>
      </c>
    </row>
    <row r="39" spans="1:27" x14ac:dyDescent="0.3">
      <c r="A39" s="1" t="s">
        <v>290</v>
      </c>
      <c r="B39">
        <v>38</v>
      </c>
      <c r="C39" s="1" t="s">
        <v>291</v>
      </c>
      <c r="D39" s="1" t="s">
        <v>175</v>
      </c>
      <c r="E39" s="1" t="s">
        <v>39</v>
      </c>
      <c r="F39" s="1" t="s">
        <v>173</v>
      </c>
      <c r="G39" s="1" t="s">
        <v>292</v>
      </c>
      <c r="H39" s="1" t="s">
        <v>48</v>
      </c>
      <c r="I39" s="1" t="s">
        <v>32</v>
      </c>
      <c r="J39" s="1" t="s">
        <v>32</v>
      </c>
      <c r="K39" s="1" t="s">
        <v>142</v>
      </c>
      <c r="L39">
        <v>3</v>
      </c>
      <c r="M39">
        <v>0</v>
      </c>
      <c r="N39">
        <v>0</v>
      </c>
      <c r="O39">
        <v>3</v>
      </c>
      <c r="P39">
        <v>3</v>
      </c>
      <c r="Q39">
        <v>0</v>
      </c>
      <c r="R39">
        <v>0</v>
      </c>
      <c r="S39">
        <v>1</v>
      </c>
      <c r="T39">
        <v>1</v>
      </c>
      <c r="U39" s="1" t="s">
        <v>143</v>
      </c>
      <c r="V39" s="1" t="s">
        <v>144</v>
      </c>
      <c r="W39" s="1">
        <f t="shared" si="0"/>
        <v>202.26999999999899</v>
      </c>
      <c r="X39" s="1" t="s">
        <v>145</v>
      </c>
      <c r="Y39">
        <v>1</v>
      </c>
      <c r="Z39">
        <v>1</v>
      </c>
      <c r="AA39">
        <v>39</v>
      </c>
    </row>
    <row r="40" spans="1:27" x14ac:dyDescent="0.3">
      <c r="A40" s="1" t="s">
        <v>293</v>
      </c>
      <c r="B40">
        <v>39</v>
      </c>
      <c r="C40" s="1" t="s">
        <v>294</v>
      </c>
      <c r="D40" s="1" t="s">
        <v>295</v>
      </c>
      <c r="E40" s="1" t="s">
        <v>41</v>
      </c>
      <c r="F40" s="1" t="s">
        <v>296</v>
      </c>
      <c r="G40" s="1" t="s">
        <v>74</v>
      </c>
      <c r="H40" s="1" t="s">
        <v>55</v>
      </c>
      <c r="I40" s="1" t="s">
        <v>32</v>
      </c>
      <c r="J40" s="1" t="s">
        <v>74</v>
      </c>
      <c r="K40" s="1" t="s">
        <v>297</v>
      </c>
      <c r="L40">
        <v>3</v>
      </c>
      <c r="M40">
        <v>0</v>
      </c>
      <c r="N40">
        <v>0</v>
      </c>
      <c r="O40">
        <v>4</v>
      </c>
      <c r="P40">
        <v>3</v>
      </c>
      <c r="Q40">
        <v>0</v>
      </c>
      <c r="R40">
        <v>0</v>
      </c>
      <c r="S40">
        <v>1</v>
      </c>
      <c r="T40">
        <v>1</v>
      </c>
      <c r="U40" s="1" t="s">
        <v>297</v>
      </c>
      <c r="V40" s="1" t="s">
        <v>152</v>
      </c>
      <c r="W40" s="1">
        <f t="shared" si="0"/>
        <v>63.28</v>
      </c>
      <c r="X40" s="1" t="s">
        <v>49</v>
      </c>
      <c r="Y40">
        <v>1</v>
      </c>
      <c r="Z40">
        <v>1</v>
      </c>
      <c r="AA40">
        <v>40</v>
      </c>
    </row>
    <row r="41" spans="1:27" x14ac:dyDescent="0.3">
      <c r="A41" s="1" t="s">
        <v>298</v>
      </c>
      <c r="B41">
        <v>40</v>
      </c>
      <c r="C41" s="1" t="s">
        <v>299</v>
      </c>
      <c r="D41" s="1" t="s">
        <v>300</v>
      </c>
      <c r="E41" s="1" t="s">
        <v>32</v>
      </c>
      <c r="F41" s="1" t="s">
        <v>300</v>
      </c>
      <c r="G41" s="1" t="s">
        <v>301</v>
      </c>
      <c r="H41" s="1" t="s">
        <v>63</v>
      </c>
      <c r="I41" s="1" t="s">
        <v>32</v>
      </c>
      <c r="J41" s="1" t="s">
        <v>29</v>
      </c>
      <c r="K41" s="1" t="s">
        <v>302</v>
      </c>
      <c r="L41">
        <v>1</v>
      </c>
      <c r="M41">
        <v>1</v>
      </c>
      <c r="N41">
        <v>0</v>
      </c>
      <c r="O41">
        <v>5</v>
      </c>
      <c r="P41">
        <v>2</v>
      </c>
      <c r="Q41">
        <v>0</v>
      </c>
      <c r="R41">
        <v>0</v>
      </c>
      <c r="S41">
        <v>1</v>
      </c>
      <c r="T41">
        <v>1</v>
      </c>
      <c r="U41" s="1" t="s">
        <v>303</v>
      </c>
      <c r="V41" s="1" t="s">
        <v>304</v>
      </c>
      <c r="W41" s="1">
        <f t="shared" si="0"/>
        <v>64.41</v>
      </c>
      <c r="X41" s="1" t="s">
        <v>305</v>
      </c>
      <c r="Y41">
        <v>1</v>
      </c>
      <c r="Z41">
        <v>1</v>
      </c>
      <c r="AA41">
        <v>41</v>
      </c>
    </row>
    <row r="42" spans="1:27" x14ac:dyDescent="0.3">
      <c r="A42" s="1" t="s">
        <v>306</v>
      </c>
      <c r="B42">
        <v>41</v>
      </c>
      <c r="C42" s="1" t="s">
        <v>307</v>
      </c>
      <c r="D42" s="1" t="s">
        <v>308</v>
      </c>
      <c r="E42" s="1" t="s">
        <v>29</v>
      </c>
      <c r="F42" s="1" t="s">
        <v>309</v>
      </c>
      <c r="G42" s="1" t="s">
        <v>33</v>
      </c>
      <c r="H42" s="1" t="s">
        <v>74</v>
      </c>
      <c r="I42" s="1" t="s">
        <v>33</v>
      </c>
      <c r="J42" s="1" t="s">
        <v>33</v>
      </c>
      <c r="K42" s="1" t="s">
        <v>34</v>
      </c>
      <c r="L42">
        <v>1</v>
      </c>
      <c r="M42">
        <v>0</v>
      </c>
      <c r="N42">
        <v>0</v>
      </c>
      <c r="O42">
        <v>6</v>
      </c>
      <c r="P42">
        <v>1</v>
      </c>
      <c r="Q42">
        <v>1</v>
      </c>
      <c r="R42">
        <v>0</v>
      </c>
      <c r="S42">
        <v>0</v>
      </c>
      <c r="T42">
        <v>0</v>
      </c>
      <c r="U42" s="1" t="s">
        <v>310</v>
      </c>
      <c r="V42" s="1">
        <v>0</v>
      </c>
      <c r="W42" s="1">
        <f t="shared" si="0"/>
        <v>0</v>
      </c>
      <c r="X42" s="1" t="s">
        <v>310</v>
      </c>
      <c r="Y42">
        <v>1</v>
      </c>
      <c r="Z42">
        <v>0</v>
      </c>
      <c r="AA42">
        <v>42</v>
      </c>
    </row>
    <row r="43" spans="1:27" x14ac:dyDescent="0.3">
      <c r="A43" s="1" t="s">
        <v>311</v>
      </c>
      <c r="B43">
        <v>42</v>
      </c>
      <c r="C43" s="1" t="s">
        <v>312</v>
      </c>
      <c r="D43" s="1" t="s">
        <v>203</v>
      </c>
      <c r="E43" s="1" t="s">
        <v>39</v>
      </c>
      <c r="F43" s="1" t="s">
        <v>201</v>
      </c>
      <c r="G43" s="1" t="s">
        <v>313</v>
      </c>
      <c r="H43" s="1" t="s">
        <v>29</v>
      </c>
      <c r="I43" s="1" t="s">
        <v>33</v>
      </c>
      <c r="J43" s="1" t="s">
        <v>33</v>
      </c>
      <c r="K43" s="1" t="s">
        <v>34</v>
      </c>
      <c r="L43">
        <v>1</v>
      </c>
      <c r="M43">
        <v>2</v>
      </c>
      <c r="N43">
        <v>0</v>
      </c>
      <c r="O43">
        <v>1</v>
      </c>
      <c r="P43">
        <v>3</v>
      </c>
      <c r="Q43">
        <v>1</v>
      </c>
      <c r="R43">
        <v>0</v>
      </c>
      <c r="S43">
        <v>0</v>
      </c>
      <c r="T43">
        <v>0</v>
      </c>
      <c r="U43" s="1" t="s">
        <v>314</v>
      </c>
      <c r="V43" s="1">
        <v>0</v>
      </c>
      <c r="W43" s="1">
        <f t="shared" si="0"/>
        <v>0</v>
      </c>
      <c r="X43" s="1" t="s">
        <v>314</v>
      </c>
      <c r="Y43">
        <v>1</v>
      </c>
      <c r="Z43">
        <v>0</v>
      </c>
      <c r="AA43">
        <v>43</v>
      </c>
    </row>
    <row r="44" spans="1:27" x14ac:dyDescent="0.3">
      <c r="A44" s="1" t="s">
        <v>315</v>
      </c>
      <c r="B44">
        <v>43</v>
      </c>
      <c r="C44" s="1" t="s">
        <v>316</v>
      </c>
      <c r="D44" s="1" t="s">
        <v>317</v>
      </c>
      <c r="E44" s="1" t="s">
        <v>41</v>
      </c>
      <c r="F44" s="1" t="s">
        <v>208</v>
      </c>
      <c r="G44" s="1" t="s">
        <v>318</v>
      </c>
      <c r="H44" s="1" t="s">
        <v>32</v>
      </c>
      <c r="I44" s="1" t="s">
        <v>33</v>
      </c>
      <c r="J44" s="1" t="s">
        <v>33</v>
      </c>
      <c r="K44" s="1" t="s">
        <v>34</v>
      </c>
      <c r="L44">
        <v>2</v>
      </c>
      <c r="M44">
        <v>0</v>
      </c>
      <c r="N44">
        <v>0</v>
      </c>
      <c r="O44">
        <v>2</v>
      </c>
      <c r="P44">
        <v>2</v>
      </c>
      <c r="Q44">
        <v>1</v>
      </c>
      <c r="R44">
        <v>0</v>
      </c>
      <c r="S44">
        <v>0</v>
      </c>
      <c r="T44">
        <v>0</v>
      </c>
      <c r="U44" s="1" t="s">
        <v>319</v>
      </c>
      <c r="V44" s="1">
        <v>0</v>
      </c>
      <c r="W44" s="1">
        <f t="shared" si="0"/>
        <v>0</v>
      </c>
      <c r="X44" s="1" t="s">
        <v>319</v>
      </c>
      <c r="Y44">
        <v>1</v>
      </c>
      <c r="Z44">
        <v>0</v>
      </c>
      <c r="AA44">
        <v>44</v>
      </c>
    </row>
    <row r="45" spans="1:27" x14ac:dyDescent="0.3">
      <c r="A45" s="1" t="s">
        <v>320</v>
      </c>
      <c r="B45">
        <v>44</v>
      </c>
      <c r="C45" s="1" t="s">
        <v>321</v>
      </c>
      <c r="D45" s="1" t="s">
        <v>212</v>
      </c>
      <c r="E45" s="1" t="s">
        <v>32</v>
      </c>
      <c r="F45" s="1" t="s">
        <v>54</v>
      </c>
      <c r="G45" s="1" t="s">
        <v>322</v>
      </c>
      <c r="H45" s="1" t="s">
        <v>41</v>
      </c>
      <c r="I45" s="1" t="s">
        <v>56</v>
      </c>
      <c r="J45" s="1" t="s">
        <v>33</v>
      </c>
      <c r="K45" s="1" t="s">
        <v>34</v>
      </c>
      <c r="L45">
        <v>2</v>
      </c>
      <c r="M45">
        <v>1</v>
      </c>
      <c r="N45">
        <v>0</v>
      </c>
      <c r="O45">
        <v>3</v>
      </c>
      <c r="P45">
        <v>3</v>
      </c>
      <c r="Q45">
        <v>0</v>
      </c>
      <c r="R45">
        <v>1</v>
      </c>
      <c r="S45">
        <v>0</v>
      </c>
      <c r="T45">
        <v>0</v>
      </c>
      <c r="U45" s="1" t="s">
        <v>323</v>
      </c>
      <c r="V45" s="1">
        <v>0</v>
      </c>
      <c r="W45" s="1">
        <f t="shared" si="0"/>
        <v>0</v>
      </c>
      <c r="X45" s="1" t="s">
        <v>323</v>
      </c>
      <c r="Y45">
        <v>1</v>
      </c>
      <c r="Z45">
        <v>0</v>
      </c>
      <c r="AA45">
        <v>45</v>
      </c>
    </row>
    <row r="46" spans="1:27" x14ac:dyDescent="0.3">
      <c r="A46" s="1" t="s">
        <v>324</v>
      </c>
      <c r="B46">
        <v>45</v>
      </c>
      <c r="C46" s="1" t="s">
        <v>325</v>
      </c>
      <c r="D46" s="1" t="s">
        <v>326</v>
      </c>
      <c r="E46" s="1" t="s">
        <v>29</v>
      </c>
      <c r="F46" s="1" t="s">
        <v>62</v>
      </c>
      <c r="G46" s="1" t="s">
        <v>327</v>
      </c>
      <c r="H46" s="1" t="s">
        <v>48</v>
      </c>
      <c r="I46" s="1" t="s">
        <v>64</v>
      </c>
      <c r="J46" s="1" t="s">
        <v>41</v>
      </c>
      <c r="K46" s="1" t="s">
        <v>328</v>
      </c>
      <c r="L46">
        <v>2</v>
      </c>
      <c r="M46">
        <v>0</v>
      </c>
      <c r="N46">
        <v>0</v>
      </c>
      <c r="O46">
        <v>4</v>
      </c>
      <c r="P46">
        <v>2</v>
      </c>
      <c r="Q46">
        <v>0</v>
      </c>
      <c r="R46">
        <v>0</v>
      </c>
      <c r="S46">
        <v>0</v>
      </c>
      <c r="T46">
        <v>0</v>
      </c>
      <c r="U46" s="1" t="s">
        <v>329</v>
      </c>
      <c r="V46" s="1" t="s">
        <v>104</v>
      </c>
      <c r="W46" s="1">
        <f t="shared" si="0"/>
        <v>76.84</v>
      </c>
      <c r="X46" s="1" t="s">
        <v>330</v>
      </c>
      <c r="Y46">
        <v>1</v>
      </c>
      <c r="Z46">
        <v>0</v>
      </c>
      <c r="AA46">
        <v>46</v>
      </c>
    </row>
    <row r="47" spans="1:27" x14ac:dyDescent="0.3">
      <c r="A47" s="1" t="s">
        <v>331</v>
      </c>
      <c r="B47">
        <v>46</v>
      </c>
      <c r="C47" s="1" t="s">
        <v>332</v>
      </c>
      <c r="D47" s="1" t="s">
        <v>333</v>
      </c>
      <c r="E47" s="1" t="s">
        <v>39</v>
      </c>
      <c r="F47" s="1" t="s">
        <v>73</v>
      </c>
      <c r="G47" s="1" t="s">
        <v>334</v>
      </c>
      <c r="H47" s="1" t="s">
        <v>55</v>
      </c>
      <c r="I47" s="1" t="s">
        <v>64</v>
      </c>
      <c r="J47" s="1" t="s">
        <v>32</v>
      </c>
      <c r="K47" s="1" t="s">
        <v>335</v>
      </c>
      <c r="L47">
        <v>3</v>
      </c>
      <c r="M47">
        <v>0</v>
      </c>
      <c r="N47">
        <v>0</v>
      </c>
      <c r="O47">
        <v>5</v>
      </c>
      <c r="P47">
        <v>3</v>
      </c>
      <c r="Q47">
        <v>0</v>
      </c>
      <c r="R47">
        <v>0</v>
      </c>
      <c r="S47">
        <v>0</v>
      </c>
      <c r="T47">
        <v>0</v>
      </c>
      <c r="U47" s="1" t="s">
        <v>336</v>
      </c>
      <c r="V47" s="1" t="s">
        <v>304</v>
      </c>
      <c r="W47" s="1">
        <f t="shared" si="0"/>
        <v>64.41</v>
      </c>
      <c r="X47" s="1" t="s">
        <v>337</v>
      </c>
      <c r="Y47">
        <v>1</v>
      </c>
      <c r="Z47">
        <v>0</v>
      </c>
      <c r="AA47">
        <v>47</v>
      </c>
    </row>
    <row r="48" spans="1:27" x14ac:dyDescent="0.3">
      <c r="A48" s="1" t="s">
        <v>338</v>
      </c>
      <c r="B48">
        <v>47</v>
      </c>
      <c r="C48" s="1" t="s">
        <v>339</v>
      </c>
      <c r="D48" s="1" t="s">
        <v>340</v>
      </c>
      <c r="E48" s="1" t="s">
        <v>41</v>
      </c>
      <c r="F48" s="1" t="s">
        <v>341</v>
      </c>
      <c r="G48" s="1" t="s">
        <v>342</v>
      </c>
      <c r="H48" s="1" t="s">
        <v>63</v>
      </c>
      <c r="I48" s="1" t="s">
        <v>32</v>
      </c>
      <c r="J48" s="1" t="s">
        <v>32</v>
      </c>
      <c r="K48" s="1" t="s">
        <v>343</v>
      </c>
      <c r="L48">
        <v>3</v>
      </c>
      <c r="M48">
        <v>0</v>
      </c>
      <c r="N48">
        <v>0</v>
      </c>
      <c r="O48">
        <v>6</v>
      </c>
      <c r="P48">
        <v>3</v>
      </c>
      <c r="Q48">
        <v>0</v>
      </c>
      <c r="R48">
        <v>0</v>
      </c>
      <c r="S48">
        <v>1</v>
      </c>
      <c r="T48">
        <v>1</v>
      </c>
      <c r="U48" s="1" t="s">
        <v>344</v>
      </c>
      <c r="V48" s="1" t="s">
        <v>345</v>
      </c>
      <c r="W48" s="1">
        <f t="shared" si="0"/>
        <v>265.32</v>
      </c>
      <c r="X48" s="1" t="s">
        <v>346</v>
      </c>
      <c r="Y48">
        <v>1</v>
      </c>
      <c r="Z48">
        <v>1</v>
      </c>
      <c r="AA48">
        <v>48</v>
      </c>
    </row>
    <row r="49" spans="1:27" x14ac:dyDescent="0.3">
      <c r="A49" s="1" t="s">
        <v>347</v>
      </c>
      <c r="B49">
        <v>48</v>
      </c>
      <c r="C49" s="1" t="s">
        <v>348</v>
      </c>
      <c r="D49" s="1" t="s">
        <v>349</v>
      </c>
      <c r="E49" s="1" t="s">
        <v>32</v>
      </c>
      <c r="F49" s="1" t="s">
        <v>350</v>
      </c>
      <c r="G49" s="1" t="s">
        <v>351</v>
      </c>
      <c r="H49" s="1" t="s">
        <v>74</v>
      </c>
      <c r="I49" s="1" t="s">
        <v>32</v>
      </c>
      <c r="J49" s="1" t="s">
        <v>74</v>
      </c>
      <c r="K49" s="1" t="s">
        <v>352</v>
      </c>
      <c r="L49">
        <v>3</v>
      </c>
      <c r="M49">
        <v>2</v>
      </c>
      <c r="N49">
        <v>1</v>
      </c>
      <c r="O49">
        <v>1</v>
      </c>
      <c r="P49">
        <v>6</v>
      </c>
      <c r="Q49">
        <v>0</v>
      </c>
      <c r="R49">
        <v>0</v>
      </c>
      <c r="S49">
        <v>1</v>
      </c>
      <c r="T49">
        <v>1</v>
      </c>
      <c r="U49" s="1" t="s">
        <v>352</v>
      </c>
      <c r="V49" s="1" t="s">
        <v>353</v>
      </c>
      <c r="W49" s="1">
        <f t="shared" si="0"/>
        <v>42.71</v>
      </c>
      <c r="X49" s="1" t="s">
        <v>354</v>
      </c>
      <c r="Y49">
        <v>1</v>
      </c>
      <c r="Z49">
        <v>1</v>
      </c>
      <c r="AA49">
        <v>49</v>
      </c>
    </row>
    <row r="50" spans="1:27" x14ac:dyDescent="0.3">
      <c r="A50" s="1" t="s">
        <v>355</v>
      </c>
      <c r="B50">
        <v>49</v>
      </c>
      <c r="C50" s="1" t="s">
        <v>356</v>
      </c>
      <c r="D50" s="1" t="s">
        <v>357</v>
      </c>
      <c r="E50" s="1" t="s">
        <v>29</v>
      </c>
      <c r="F50" s="1" t="s">
        <v>357</v>
      </c>
      <c r="G50" s="1" t="s">
        <v>358</v>
      </c>
      <c r="H50" s="1" t="s">
        <v>29</v>
      </c>
      <c r="I50" s="1" t="s">
        <v>32</v>
      </c>
      <c r="J50" s="1" t="s">
        <v>29</v>
      </c>
      <c r="K50" s="1" t="s">
        <v>359</v>
      </c>
      <c r="L50">
        <v>3</v>
      </c>
      <c r="M50">
        <v>0</v>
      </c>
      <c r="N50">
        <v>0</v>
      </c>
      <c r="O50">
        <v>2</v>
      </c>
      <c r="P50">
        <v>3</v>
      </c>
      <c r="Q50">
        <v>0</v>
      </c>
      <c r="R50">
        <v>0</v>
      </c>
      <c r="S50">
        <v>1</v>
      </c>
      <c r="T50">
        <v>1</v>
      </c>
      <c r="U50" s="1" t="s">
        <v>360</v>
      </c>
      <c r="V50" s="1" t="s">
        <v>288</v>
      </c>
      <c r="W50" s="1">
        <f t="shared" si="0"/>
        <v>301.70999999999998</v>
      </c>
      <c r="X50" s="1" t="s">
        <v>361</v>
      </c>
      <c r="Y50">
        <v>1</v>
      </c>
      <c r="Z50">
        <v>1</v>
      </c>
      <c r="AA50">
        <v>50</v>
      </c>
    </row>
    <row r="51" spans="1:27" x14ac:dyDescent="0.3">
      <c r="A51" s="1" t="s">
        <v>362</v>
      </c>
      <c r="B51">
        <v>50</v>
      </c>
      <c r="C51" s="1" t="s">
        <v>363</v>
      </c>
      <c r="D51" s="1" t="s">
        <v>364</v>
      </c>
      <c r="E51" s="1" t="s">
        <v>39</v>
      </c>
      <c r="F51" s="1" t="s">
        <v>75</v>
      </c>
      <c r="G51" s="1" t="s">
        <v>364</v>
      </c>
      <c r="H51" s="1" t="s">
        <v>32</v>
      </c>
      <c r="I51" s="1" t="s">
        <v>32</v>
      </c>
      <c r="J51" s="1" t="s">
        <v>75</v>
      </c>
      <c r="K51" s="1" t="s">
        <v>365</v>
      </c>
      <c r="L51">
        <v>1</v>
      </c>
      <c r="M51">
        <v>0</v>
      </c>
      <c r="N51">
        <v>0</v>
      </c>
      <c r="O51">
        <v>3</v>
      </c>
      <c r="P51">
        <v>1</v>
      </c>
      <c r="Q51">
        <v>0</v>
      </c>
      <c r="R51">
        <v>0</v>
      </c>
      <c r="S51">
        <v>1</v>
      </c>
      <c r="T51">
        <v>1</v>
      </c>
      <c r="U51" s="1" t="s">
        <v>366</v>
      </c>
      <c r="V51" s="1" t="s">
        <v>144</v>
      </c>
      <c r="W51" s="1">
        <f t="shared" si="0"/>
        <v>202.26999999999899</v>
      </c>
      <c r="X51" s="1" t="s">
        <v>367</v>
      </c>
      <c r="Y51">
        <v>1</v>
      </c>
      <c r="Z51">
        <v>1</v>
      </c>
      <c r="AA51">
        <v>51</v>
      </c>
    </row>
    <row r="52" spans="1:27" x14ac:dyDescent="0.3">
      <c r="A52" s="1" t="s">
        <v>368</v>
      </c>
      <c r="B52">
        <v>51</v>
      </c>
      <c r="C52" s="1" t="s">
        <v>369</v>
      </c>
      <c r="D52" s="1" t="s">
        <v>41</v>
      </c>
      <c r="E52" s="1" t="s">
        <v>41</v>
      </c>
      <c r="F52" s="1" t="s">
        <v>41</v>
      </c>
      <c r="G52" s="1" t="s">
        <v>41</v>
      </c>
      <c r="H52" s="1" t="s">
        <v>41</v>
      </c>
      <c r="I52" s="1" t="s">
        <v>32</v>
      </c>
      <c r="J52" s="1" t="s">
        <v>41</v>
      </c>
      <c r="K52" s="1" t="s">
        <v>370</v>
      </c>
      <c r="L52">
        <v>1</v>
      </c>
      <c r="M52">
        <v>0</v>
      </c>
      <c r="N52">
        <v>0</v>
      </c>
      <c r="O52">
        <v>4</v>
      </c>
      <c r="P52">
        <v>1</v>
      </c>
      <c r="Q52">
        <v>0</v>
      </c>
      <c r="R52">
        <v>0</v>
      </c>
      <c r="S52">
        <v>1</v>
      </c>
      <c r="T52">
        <v>1</v>
      </c>
      <c r="U52" s="1" t="s">
        <v>370</v>
      </c>
      <c r="V52" s="1" t="s">
        <v>152</v>
      </c>
      <c r="W52" s="1">
        <f t="shared" si="0"/>
        <v>63.28</v>
      </c>
      <c r="X52" s="1" t="s">
        <v>371</v>
      </c>
      <c r="Y52">
        <v>1</v>
      </c>
      <c r="Z52">
        <v>1</v>
      </c>
      <c r="AA52">
        <v>52</v>
      </c>
    </row>
    <row r="53" spans="1:27" x14ac:dyDescent="0.3">
      <c r="A53" s="1" t="s">
        <v>372</v>
      </c>
      <c r="B53">
        <v>52</v>
      </c>
      <c r="C53" s="1" t="s">
        <v>373</v>
      </c>
      <c r="D53" s="1" t="s">
        <v>374</v>
      </c>
      <c r="E53" s="1" t="s">
        <v>32</v>
      </c>
      <c r="F53" s="1" t="s">
        <v>32</v>
      </c>
      <c r="G53" s="1" t="s">
        <v>375</v>
      </c>
      <c r="H53" s="1" t="s">
        <v>48</v>
      </c>
      <c r="I53" s="1" t="s">
        <v>32</v>
      </c>
      <c r="J53" s="1" t="s">
        <v>32</v>
      </c>
      <c r="K53" s="1" t="s">
        <v>376</v>
      </c>
      <c r="L53">
        <v>1</v>
      </c>
      <c r="M53">
        <v>1</v>
      </c>
      <c r="N53">
        <v>0</v>
      </c>
      <c r="O53">
        <v>5</v>
      </c>
      <c r="P53">
        <v>2</v>
      </c>
      <c r="Q53">
        <v>0</v>
      </c>
      <c r="R53">
        <v>0</v>
      </c>
      <c r="S53">
        <v>1</v>
      </c>
      <c r="T53">
        <v>1</v>
      </c>
      <c r="U53" s="1" t="s">
        <v>377</v>
      </c>
      <c r="V53" s="1" t="s">
        <v>161</v>
      </c>
      <c r="W53" s="1">
        <f t="shared" si="0"/>
        <v>66.67</v>
      </c>
      <c r="X53" s="1" t="s">
        <v>378</v>
      </c>
      <c r="Y53">
        <v>1</v>
      </c>
      <c r="Z53">
        <v>1</v>
      </c>
      <c r="AA53">
        <v>53</v>
      </c>
    </row>
    <row r="54" spans="1:27" x14ac:dyDescent="0.3">
      <c r="A54" s="1" t="s">
        <v>379</v>
      </c>
      <c r="B54">
        <v>53</v>
      </c>
      <c r="C54" s="1" t="s">
        <v>380</v>
      </c>
      <c r="D54" s="1" t="s">
        <v>381</v>
      </c>
      <c r="E54" s="1" t="s">
        <v>29</v>
      </c>
      <c r="F54" s="1" t="s">
        <v>262</v>
      </c>
      <c r="G54" s="1" t="s">
        <v>382</v>
      </c>
      <c r="H54" s="1" t="s">
        <v>55</v>
      </c>
      <c r="I54" s="1" t="s">
        <v>32</v>
      </c>
      <c r="J54" s="1" t="s">
        <v>74</v>
      </c>
      <c r="K54" s="1" t="s">
        <v>383</v>
      </c>
      <c r="L54">
        <v>2</v>
      </c>
      <c r="M54">
        <v>0</v>
      </c>
      <c r="N54">
        <v>0</v>
      </c>
      <c r="O54">
        <v>6</v>
      </c>
      <c r="P54">
        <v>2</v>
      </c>
      <c r="Q54">
        <v>0</v>
      </c>
      <c r="R54">
        <v>0</v>
      </c>
      <c r="S54">
        <v>1</v>
      </c>
      <c r="T54">
        <v>1</v>
      </c>
      <c r="U54" s="1" t="s">
        <v>384</v>
      </c>
      <c r="V54" s="1" t="s">
        <v>385</v>
      </c>
      <c r="W54" s="1">
        <f t="shared" si="0"/>
        <v>251.43</v>
      </c>
      <c r="X54" s="1" t="s">
        <v>310</v>
      </c>
      <c r="Y54">
        <v>1</v>
      </c>
      <c r="Z54">
        <v>1</v>
      </c>
      <c r="AA54">
        <v>54</v>
      </c>
    </row>
    <row r="55" spans="1:27" x14ac:dyDescent="0.3">
      <c r="A55" s="1" t="s">
        <v>386</v>
      </c>
      <c r="B55">
        <v>54</v>
      </c>
      <c r="C55" s="1" t="s">
        <v>387</v>
      </c>
      <c r="D55" s="1" t="s">
        <v>388</v>
      </c>
      <c r="E55" s="1" t="s">
        <v>39</v>
      </c>
      <c r="F55" s="1" t="s">
        <v>388</v>
      </c>
      <c r="G55" s="1" t="s">
        <v>388</v>
      </c>
      <c r="H55" s="1" t="s">
        <v>63</v>
      </c>
      <c r="I55" s="1" t="s">
        <v>32</v>
      </c>
      <c r="J55" s="1" t="s">
        <v>29</v>
      </c>
      <c r="K55" s="1" t="s">
        <v>389</v>
      </c>
      <c r="L55">
        <v>2</v>
      </c>
      <c r="M55">
        <v>2</v>
      </c>
      <c r="N55">
        <v>0</v>
      </c>
      <c r="O55">
        <v>1</v>
      </c>
      <c r="P55">
        <v>4</v>
      </c>
      <c r="Q55">
        <v>0</v>
      </c>
      <c r="R55">
        <v>0</v>
      </c>
      <c r="S55">
        <v>1</v>
      </c>
      <c r="T55">
        <v>1</v>
      </c>
      <c r="U55" s="1" t="s">
        <v>389</v>
      </c>
      <c r="V55" s="1" t="s">
        <v>177</v>
      </c>
      <c r="W55" s="1">
        <f t="shared" si="0"/>
        <v>61.02</v>
      </c>
      <c r="X55" s="1" t="s">
        <v>390</v>
      </c>
      <c r="Y55">
        <v>1</v>
      </c>
      <c r="Z55">
        <v>1</v>
      </c>
      <c r="AA55">
        <v>55</v>
      </c>
    </row>
    <row r="56" spans="1:27" x14ac:dyDescent="0.3">
      <c r="A56" s="1" t="s">
        <v>391</v>
      </c>
      <c r="B56">
        <v>55</v>
      </c>
      <c r="C56" s="1" t="s">
        <v>392</v>
      </c>
      <c r="D56" s="1" t="s">
        <v>393</v>
      </c>
      <c r="E56" s="1" t="s">
        <v>41</v>
      </c>
      <c r="F56" s="1" t="s">
        <v>394</v>
      </c>
      <c r="G56" s="1" t="s">
        <v>395</v>
      </c>
      <c r="H56" s="1" t="s">
        <v>74</v>
      </c>
      <c r="I56" s="1" t="s">
        <v>32</v>
      </c>
      <c r="J56" s="1" t="s">
        <v>75</v>
      </c>
      <c r="K56" s="1" t="s">
        <v>396</v>
      </c>
      <c r="L56">
        <v>2</v>
      </c>
      <c r="M56">
        <v>0</v>
      </c>
      <c r="N56">
        <v>0</v>
      </c>
      <c r="O56">
        <v>2</v>
      </c>
      <c r="P56">
        <v>2</v>
      </c>
      <c r="Q56">
        <v>0</v>
      </c>
      <c r="R56">
        <v>0</v>
      </c>
      <c r="S56">
        <v>1</v>
      </c>
      <c r="T56">
        <v>1</v>
      </c>
      <c r="U56" s="1" t="s">
        <v>397</v>
      </c>
      <c r="V56" s="1" t="s">
        <v>398</v>
      </c>
      <c r="W56" s="1">
        <f t="shared" si="0"/>
        <v>255.95</v>
      </c>
      <c r="X56" s="1" t="s">
        <v>399</v>
      </c>
      <c r="Y56">
        <v>1</v>
      </c>
      <c r="Z56">
        <v>1</v>
      </c>
      <c r="AA56">
        <v>56</v>
      </c>
    </row>
    <row r="57" spans="1:27" x14ac:dyDescent="0.3">
      <c r="A57" s="1" t="s">
        <v>400</v>
      </c>
      <c r="B57">
        <v>56</v>
      </c>
      <c r="C57" s="1" t="s">
        <v>401</v>
      </c>
      <c r="D57" s="1" t="s">
        <v>280</v>
      </c>
      <c r="E57" s="1" t="s">
        <v>32</v>
      </c>
      <c r="F57" s="1" t="s">
        <v>402</v>
      </c>
      <c r="G57" s="1" t="s">
        <v>403</v>
      </c>
      <c r="H57" s="1" t="s">
        <v>29</v>
      </c>
      <c r="I57" s="1" t="s">
        <v>32</v>
      </c>
      <c r="J57" s="1" t="s">
        <v>41</v>
      </c>
      <c r="K57" s="1" t="s">
        <v>404</v>
      </c>
      <c r="L57">
        <v>3</v>
      </c>
      <c r="M57">
        <v>1</v>
      </c>
      <c r="N57">
        <v>0</v>
      </c>
      <c r="O57">
        <v>3</v>
      </c>
      <c r="P57">
        <v>4</v>
      </c>
      <c r="Q57">
        <v>0</v>
      </c>
      <c r="R57">
        <v>0</v>
      </c>
      <c r="S57">
        <v>1</v>
      </c>
      <c r="T57">
        <v>1</v>
      </c>
      <c r="U57" s="1" t="s">
        <v>405</v>
      </c>
      <c r="V57" s="1" t="s">
        <v>96</v>
      </c>
      <c r="W57" s="1">
        <f t="shared" si="0"/>
        <v>229.39</v>
      </c>
      <c r="X57" s="1" t="s">
        <v>323</v>
      </c>
      <c r="Y57">
        <v>1</v>
      </c>
      <c r="Z57">
        <v>1</v>
      </c>
      <c r="AA57">
        <v>57</v>
      </c>
    </row>
    <row r="58" spans="1:27" x14ac:dyDescent="0.3">
      <c r="A58" s="1" t="s">
        <v>406</v>
      </c>
      <c r="B58">
        <v>57</v>
      </c>
      <c r="C58" s="1" t="s">
        <v>407</v>
      </c>
      <c r="D58" s="1" t="s">
        <v>408</v>
      </c>
      <c r="E58" s="1" t="s">
        <v>29</v>
      </c>
      <c r="F58" s="1" t="s">
        <v>408</v>
      </c>
      <c r="G58" s="1" t="s">
        <v>408</v>
      </c>
      <c r="H58" s="1" t="s">
        <v>32</v>
      </c>
      <c r="I58" s="1" t="s">
        <v>32</v>
      </c>
      <c r="J58" s="1" t="s">
        <v>32</v>
      </c>
      <c r="K58" s="1" t="s">
        <v>409</v>
      </c>
      <c r="L58">
        <v>3</v>
      </c>
      <c r="M58">
        <v>0</v>
      </c>
      <c r="N58">
        <v>0</v>
      </c>
      <c r="O58">
        <v>4</v>
      </c>
      <c r="P58">
        <v>3</v>
      </c>
      <c r="Q58">
        <v>0</v>
      </c>
      <c r="R58">
        <v>0</v>
      </c>
      <c r="S58">
        <v>1</v>
      </c>
      <c r="T58">
        <v>1</v>
      </c>
      <c r="U58" s="1" t="s">
        <v>409</v>
      </c>
      <c r="V58" s="1" t="s">
        <v>104</v>
      </c>
      <c r="W58" s="1">
        <f t="shared" si="0"/>
        <v>76.84</v>
      </c>
      <c r="X58" s="1" t="s">
        <v>410</v>
      </c>
      <c r="Y58">
        <v>1</v>
      </c>
      <c r="Z58">
        <v>1</v>
      </c>
      <c r="AA58">
        <v>58</v>
      </c>
    </row>
    <row r="59" spans="1:27" x14ac:dyDescent="0.3">
      <c r="A59" s="1" t="s">
        <v>411</v>
      </c>
      <c r="B59">
        <v>58</v>
      </c>
      <c r="C59" s="1" t="s">
        <v>412</v>
      </c>
      <c r="D59" s="1" t="s">
        <v>413</v>
      </c>
      <c r="E59" s="1" t="s">
        <v>39</v>
      </c>
      <c r="F59" s="1" t="s">
        <v>175</v>
      </c>
      <c r="G59" s="1" t="s">
        <v>413</v>
      </c>
      <c r="H59" s="1" t="s">
        <v>41</v>
      </c>
      <c r="I59" s="1" t="s">
        <v>32</v>
      </c>
      <c r="J59" s="1" t="s">
        <v>74</v>
      </c>
      <c r="K59" s="1" t="s">
        <v>414</v>
      </c>
      <c r="L59">
        <v>3</v>
      </c>
      <c r="M59">
        <v>0</v>
      </c>
      <c r="N59">
        <v>0</v>
      </c>
      <c r="O59">
        <v>5</v>
      </c>
      <c r="P59">
        <v>3</v>
      </c>
      <c r="Q59">
        <v>0</v>
      </c>
      <c r="R59">
        <v>0</v>
      </c>
      <c r="S59">
        <v>1</v>
      </c>
      <c r="T59">
        <v>1</v>
      </c>
      <c r="U59" s="1" t="s">
        <v>415</v>
      </c>
      <c r="V59" s="1" t="s">
        <v>111</v>
      </c>
      <c r="W59" s="1">
        <f t="shared" si="0"/>
        <v>80.229999999999905</v>
      </c>
      <c r="X59" s="1" t="s">
        <v>416</v>
      </c>
      <c r="Y59">
        <v>1</v>
      </c>
      <c r="Z59">
        <v>1</v>
      </c>
      <c r="AA59">
        <v>59</v>
      </c>
    </row>
    <row r="60" spans="1:27" x14ac:dyDescent="0.3">
      <c r="A60" s="1" t="s">
        <v>417</v>
      </c>
      <c r="B60">
        <v>59</v>
      </c>
      <c r="C60" s="1" t="s">
        <v>418</v>
      </c>
      <c r="D60" s="1" t="s">
        <v>419</v>
      </c>
      <c r="E60" s="1" t="s">
        <v>41</v>
      </c>
      <c r="F60" s="1" t="s">
        <v>419</v>
      </c>
      <c r="G60" s="1" t="s">
        <v>420</v>
      </c>
      <c r="H60" s="1" t="s">
        <v>48</v>
      </c>
      <c r="I60" s="1" t="s">
        <v>32</v>
      </c>
      <c r="J60" s="1" t="s">
        <v>29</v>
      </c>
      <c r="K60" s="1" t="s">
        <v>421</v>
      </c>
      <c r="L60">
        <v>3</v>
      </c>
      <c r="M60">
        <v>0</v>
      </c>
      <c r="N60">
        <v>0</v>
      </c>
      <c r="O60">
        <v>6</v>
      </c>
      <c r="P60">
        <v>3</v>
      </c>
      <c r="Q60">
        <v>0</v>
      </c>
      <c r="R60">
        <v>0</v>
      </c>
      <c r="S60">
        <v>1</v>
      </c>
      <c r="T60">
        <v>1</v>
      </c>
      <c r="U60" s="1" t="s">
        <v>422</v>
      </c>
      <c r="V60" s="1" t="s">
        <v>169</v>
      </c>
      <c r="W60" s="1">
        <f t="shared" si="0"/>
        <v>270.07</v>
      </c>
      <c r="X60" s="1" t="s">
        <v>346</v>
      </c>
      <c r="Y60">
        <v>1</v>
      </c>
      <c r="Z60">
        <v>1</v>
      </c>
      <c r="AA60">
        <v>60</v>
      </c>
    </row>
    <row r="61" spans="1:27" x14ac:dyDescent="0.3">
      <c r="A61" s="1" t="s">
        <v>423</v>
      </c>
      <c r="B61">
        <v>60</v>
      </c>
      <c r="C61" s="1" t="s">
        <v>424</v>
      </c>
      <c r="D61" s="1" t="s">
        <v>425</v>
      </c>
      <c r="E61" s="1" t="s">
        <v>32</v>
      </c>
      <c r="F61" s="1" t="s">
        <v>426</v>
      </c>
      <c r="G61" s="1" t="s">
        <v>427</v>
      </c>
      <c r="H61" s="1" t="s">
        <v>55</v>
      </c>
      <c r="I61" s="1" t="s">
        <v>32</v>
      </c>
      <c r="J61" s="1" t="s">
        <v>75</v>
      </c>
      <c r="K61" s="1" t="s">
        <v>428</v>
      </c>
      <c r="L61">
        <v>1</v>
      </c>
      <c r="M61">
        <v>2</v>
      </c>
      <c r="N61">
        <v>1</v>
      </c>
      <c r="O61">
        <v>1</v>
      </c>
      <c r="P61">
        <v>4</v>
      </c>
      <c r="Q61">
        <v>0</v>
      </c>
      <c r="R61">
        <v>0</v>
      </c>
      <c r="S61">
        <v>1</v>
      </c>
      <c r="T61">
        <v>1</v>
      </c>
      <c r="U61" s="1" t="s">
        <v>428</v>
      </c>
      <c r="V61" s="1" t="s">
        <v>127</v>
      </c>
      <c r="W61" s="1">
        <f t="shared" si="0"/>
        <v>47.46</v>
      </c>
      <c r="X61" s="1" t="s">
        <v>429</v>
      </c>
      <c r="Y61">
        <v>1</v>
      </c>
      <c r="Z61">
        <v>1</v>
      </c>
      <c r="AA61">
        <v>61</v>
      </c>
    </row>
    <row r="62" spans="1:27" x14ac:dyDescent="0.3">
      <c r="A62" s="1" t="s">
        <v>430</v>
      </c>
      <c r="B62">
        <v>61</v>
      </c>
      <c r="C62" s="1" t="s">
        <v>431</v>
      </c>
      <c r="D62" s="1" t="s">
        <v>33</v>
      </c>
      <c r="E62" s="1" t="s">
        <v>29</v>
      </c>
      <c r="F62" s="1" t="s">
        <v>432</v>
      </c>
      <c r="G62" s="1" t="s">
        <v>433</v>
      </c>
      <c r="H62" s="1" t="s">
        <v>63</v>
      </c>
      <c r="I62" s="1" t="s">
        <v>33</v>
      </c>
      <c r="J62" s="1" t="s">
        <v>33</v>
      </c>
      <c r="K62" s="1" t="s">
        <v>34</v>
      </c>
      <c r="L62">
        <v>1</v>
      </c>
      <c r="M62">
        <v>0</v>
      </c>
      <c r="N62">
        <v>0</v>
      </c>
      <c r="O62">
        <v>2</v>
      </c>
      <c r="P62">
        <v>1</v>
      </c>
      <c r="Q62">
        <v>1</v>
      </c>
      <c r="R62">
        <v>0</v>
      </c>
      <c r="S62">
        <v>0</v>
      </c>
      <c r="T62">
        <v>0</v>
      </c>
      <c r="U62" s="1" t="s">
        <v>434</v>
      </c>
      <c r="V62" s="1">
        <v>0</v>
      </c>
      <c r="W62" s="1">
        <f t="shared" si="0"/>
        <v>0</v>
      </c>
      <c r="X62" s="1" t="s">
        <v>434</v>
      </c>
      <c r="Y62">
        <v>1</v>
      </c>
      <c r="Z62">
        <v>0</v>
      </c>
      <c r="AA62">
        <v>62</v>
      </c>
    </row>
    <row r="63" spans="1:27" x14ac:dyDescent="0.3">
      <c r="A63" s="1" t="s">
        <v>435</v>
      </c>
      <c r="B63">
        <v>62</v>
      </c>
      <c r="C63" s="1" t="s">
        <v>436</v>
      </c>
      <c r="D63" s="1" t="s">
        <v>437</v>
      </c>
      <c r="E63" s="1" t="s">
        <v>39</v>
      </c>
      <c r="F63" s="1" t="s">
        <v>203</v>
      </c>
      <c r="G63" s="1" t="s">
        <v>438</v>
      </c>
      <c r="H63" s="1" t="s">
        <v>74</v>
      </c>
      <c r="I63" s="1" t="s">
        <v>33</v>
      </c>
      <c r="J63" s="1" t="s">
        <v>33</v>
      </c>
      <c r="K63" s="1" t="s">
        <v>34</v>
      </c>
      <c r="L63">
        <v>1</v>
      </c>
      <c r="M63">
        <v>0</v>
      </c>
      <c r="N63">
        <v>0</v>
      </c>
      <c r="O63">
        <v>3</v>
      </c>
      <c r="P63">
        <v>1</v>
      </c>
      <c r="Q63">
        <v>1</v>
      </c>
      <c r="R63">
        <v>0</v>
      </c>
      <c r="S63">
        <v>0</v>
      </c>
      <c r="T63">
        <v>0</v>
      </c>
      <c r="U63" s="1" t="s">
        <v>439</v>
      </c>
      <c r="V63" s="1">
        <v>0</v>
      </c>
      <c r="W63" s="1">
        <f t="shared" si="0"/>
        <v>0</v>
      </c>
      <c r="X63" s="1" t="s">
        <v>439</v>
      </c>
      <c r="Y63">
        <v>1</v>
      </c>
      <c r="Z63">
        <v>0</v>
      </c>
      <c r="AA63">
        <v>63</v>
      </c>
    </row>
    <row r="64" spans="1:27" x14ac:dyDescent="0.3">
      <c r="A64" s="1" t="s">
        <v>440</v>
      </c>
      <c r="B64">
        <v>63</v>
      </c>
      <c r="C64" s="1" t="s">
        <v>441</v>
      </c>
      <c r="D64" s="1" t="s">
        <v>442</v>
      </c>
      <c r="E64" s="1" t="s">
        <v>41</v>
      </c>
      <c r="F64" s="1" t="s">
        <v>443</v>
      </c>
      <c r="G64" s="1" t="s">
        <v>444</v>
      </c>
      <c r="H64" s="1" t="s">
        <v>29</v>
      </c>
      <c r="I64" s="1" t="s">
        <v>33</v>
      </c>
      <c r="J64" s="1" t="s">
        <v>33</v>
      </c>
      <c r="K64" s="1" t="s">
        <v>34</v>
      </c>
      <c r="L64">
        <v>2</v>
      </c>
      <c r="M64">
        <v>0</v>
      </c>
      <c r="N64">
        <v>0</v>
      </c>
      <c r="O64">
        <v>4</v>
      </c>
      <c r="P64">
        <v>2</v>
      </c>
      <c r="Q64">
        <v>1</v>
      </c>
      <c r="R64">
        <v>0</v>
      </c>
      <c r="S64">
        <v>0</v>
      </c>
      <c r="T64">
        <v>0</v>
      </c>
      <c r="U64" s="1">
        <v>419</v>
      </c>
      <c r="V64" s="1">
        <v>0</v>
      </c>
      <c r="W64" s="1">
        <f t="shared" si="0"/>
        <v>0</v>
      </c>
      <c r="X64" s="1">
        <v>419</v>
      </c>
      <c r="Y64">
        <v>1</v>
      </c>
      <c r="Z64">
        <v>0</v>
      </c>
      <c r="AA64">
        <v>64</v>
      </c>
    </row>
    <row r="65" spans="1:27" x14ac:dyDescent="0.3">
      <c r="A65" s="1" t="s">
        <v>445</v>
      </c>
      <c r="B65">
        <v>64</v>
      </c>
      <c r="C65" s="1" t="s">
        <v>446</v>
      </c>
      <c r="D65" s="1" t="s">
        <v>447</v>
      </c>
      <c r="E65" s="1" t="s">
        <v>32</v>
      </c>
      <c r="F65" s="1" t="s">
        <v>212</v>
      </c>
      <c r="G65" s="1" t="s">
        <v>448</v>
      </c>
      <c r="H65" s="1" t="s">
        <v>32</v>
      </c>
      <c r="I65" s="1" t="s">
        <v>56</v>
      </c>
      <c r="J65" s="1" t="s">
        <v>33</v>
      </c>
      <c r="K65" s="1" t="s">
        <v>34</v>
      </c>
      <c r="L65">
        <v>2</v>
      </c>
      <c r="M65">
        <v>1</v>
      </c>
      <c r="N65">
        <v>0</v>
      </c>
      <c r="O65">
        <v>5</v>
      </c>
      <c r="P65">
        <v>3</v>
      </c>
      <c r="Q65">
        <v>0</v>
      </c>
      <c r="R65">
        <v>1</v>
      </c>
      <c r="S65">
        <v>0</v>
      </c>
      <c r="T65">
        <v>0</v>
      </c>
      <c r="U65" s="1" t="s">
        <v>378</v>
      </c>
      <c r="V65" s="1">
        <v>0</v>
      </c>
      <c r="W65" s="1">
        <f t="shared" si="0"/>
        <v>0</v>
      </c>
      <c r="X65" s="1" t="s">
        <v>378</v>
      </c>
      <c r="Y65">
        <v>1</v>
      </c>
      <c r="Z65">
        <v>0</v>
      </c>
      <c r="AA65">
        <v>65</v>
      </c>
    </row>
    <row r="66" spans="1:27" x14ac:dyDescent="0.3">
      <c r="A66" s="1" t="s">
        <v>449</v>
      </c>
      <c r="B66">
        <v>65</v>
      </c>
      <c r="C66" s="1" t="s">
        <v>450</v>
      </c>
      <c r="D66" s="1" t="s">
        <v>451</v>
      </c>
      <c r="E66" s="1" t="s">
        <v>29</v>
      </c>
      <c r="F66" s="1" t="s">
        <v>452</v>
      </c>
      <c r="G66" s="1" t="s">
        <v>453</v>
      </c>
      <c r="H66" s="1" t="s">
        <v>41</v>
      </c>
      <c r="I66" s="1" t="s">
        <v>64</v>
      </c>
      <c r="J66" s="1" t="s">
        <v>32</v>
      </c>
      <c r="K66" s="1" t="s">
        <v>454</v>
      </c>
      <c r="L66">
        <v>2</v>
      </c>
      <c r="M66">
        <v>0</v>
      </c>
      <c r="N66">
        <v>0</v>
      </c>
      <c r="O66">
        <v>6</v>
      </c>
      <c r="P66">
        <v>2</v>
      </c>
      <c r="Q66">
        <v>0</v>
      </c>
      <c r="R66">
        <v>0</v>
      </c>
      <c r="S66">
        <v>0</v>
      </c>
      <c r="T66">
        <v>0</v>
      </c>
      <c r="U66" s="1" t="s">
        <v>455</v>
      </c>
      <c r="V66" s="1" t="s">
        <v>67</v>
      </c>
      <c r="W66" s="1">
        <f t="shared" ref="W66:W129" si="1">VALUE(SUBSTITUTE(TRIM(V66),".", ","))</f>
        <v>22.6</v>
      </c>
      <c r="X66" s="1" t="s">
        <v>456</v>
      </c>
      <c r="Y66">
        <v>1</v>
      </c>
      <c r="Z66">
        <v>0</v>
      </c>
      <c r="AA66">
        <v>66</v>
      </c>
    </row>
    <row r="67" spans="1:27" x14ac:dyDescent="0.3">
      <c r="A67" s="1" t="s">
        <v>457</v>
      </c>
      <c r="B67">
        <v>66</v>
      </c>
      <c r="C67" s="1" t="s">
        <v>458</v>
      </c>
      <c r="D67" s="1" t="s">
        <v>459</v>
      </c>
      <c r="E67" s="1" t="s">
        <v>39</v>
      </c>
      <c r="F67" s="1" t="s">
        <v>334</v>
      </c>
      <c r="G67" s="1" t="s">
        <v>460</v>
      </c>
      <c r="H67" s="1" t="s">
        <v>48</v>
      </c>
      <c r="I67" s="1" t="s">
        <v>64</v>
      </c>
      <c r="J67" s="1" t="s">
        <v>74</v>
      </c>
      <c r="K67" s="1" t="s">
        <v>461</v>
      </c>
      <c r="L67">
        <v>3</v>
      </c>
      <c r="M67">
        <v>2</v>
      </c>
      <c r="N67">
        <v>0</v>
      </c>
      <c r="O67">
        <v>1</v>
      </c>
      <c r="P67">
        <v>5</v>
      </c>
      <c r="Q67">
        <v>0</v>
      </c>
      <c r="R67">
        <v>0</v>
      </c>
      <c r="S67">
        <v>0</v>
      </c>
      <c r="T67">
        <v>0</v>
      </c>
      <c r="U67" s="1" t="s">
        <v>462</v>
      </c>
      <c r="V67" s="1" t="s">
        <v>177</v>
      </c>
      <c r="W67" s="1">
        <f t="shared" si="1"/>
        <v>61.02</v>
      </c>
      <c r="X67" s="1" t="s">
        <v>463</v>
      </c>
      <c r="Y67">
        <v>1</v>
      </c>
      <c r="Z67">
        <v>0</v>
      </c>
      <c r="AA67">
        <v>67</v>
      </c>
    </row>
    <row r="68" spans="1:27" x14ac:dyDescent="0.3">
      <c r="A68" s="1" t="s">
        <v>464</v>
      </c>
      <c r="B68">
        <v>67</v>
      </c>
      <c r="C68" s="1" t="s">
        <v>465</v>
      </c>
      <c r="D68" s="1" t="s">
        <v>466</v>
      </c>
      <c r="E68" s="1" t="s">
        <v>41</v>
      </c>
      <c r="F68" s="1" t="s">
        <v>340</v>
      </c>
      <c r="G68" s="1" t="s">
        <v>467</v>
      </c>
      <c r="H68" s="1" t="s">
        <v>55</v>
      </c>
      <c r="I68" s="1" t="s">
        <v>32</v>
      </c>
      <c r="J68" s="1" t="s">
        <v>74</v>
      </c>
      <c r="K68" s="1" t="s">
        <v>359</v>
      </c>
      <c r="L68">
        <v>3</v>
      </c>
      <c r="M68">
        <v>0</v>
      </c>
      <c r="N68">
        <v>0</v>
      </c>
      <c r="O68">
        <v>2</v>
      </c>
      <c r="P68">
        <v>3</v>
      </c>
      <c r="Q68">
        <v>0</v>
      </c>
      <c r="R68">
        <v>0</v>
      </c>
      <c r="S68">
        <v>1</v>
      </c>
      <c r="T68">
        <v>1</v>
      </c>
      <c r="U68" s="1" t="s">
        <v>360</v>
      </c>
      <c r="V68" s="1" t="s">
        <v>87</v>
      </c>
      <c r="W68" s="1">
        <f t="shared" si="1"/>
        <v>274.58999999999997</v>
      </c>
      <c r="X68" s="1" t="s">
        <v>468</v>
      </c>
      <c r="Y68">
        <v>1</v>
      </c>
      <c r="Z68">
        <v>1</v>
      </c>
      <c r="AA68">
        <v>68</v>
      </c>
    </row>
    <row r="69" spans="1:27" x14ac:dyDescent="0.3">
      <c r="A69" s="1" t="s">
        <v>469</v>
      </c>
      <c r="B69">
        <v>68</v>
      </c>
      <c r="C69" s="1" t="s">
        <v>470</v>
      </c>
      <c r="D69" s="1" t="s">
        <v>471</v>
      </c>
      <c r="E69" s="1" t="s">
        <v>32</v>
      </c>
      <c r="F69" s="1" t="s">
        <v>349</v>
      </c>
      <c r="G69" s="1" t="s">
        <v>472</v>
      </c>
      <c r="H69" s="1" t="s">
        <v>63</v>
      </c>
      <c r="I69" s="1" t="s">
        <v>32</v>
      </c>
      <c r="J69" s="1" t="s">
        <v>29</v>
      </c>
      <c r="K69" s="1" t="s">
        <v>473</v>
      </c>
      <c r="L69">
        <v>3</v>
      </c>
      <c r="M69">
        <v>1</v>
      </c>
      <c r="N69">
        <v>0</v>
      </c>
      <c r="O69">
        <v>3</v>
      </c>
      <c r="P69">
        <v>4</v>
      </c>
      <c r="Q69">
        <v>0</v>
      </c>
      <c r="R69">
        <v>0</v>
      </c>
      <c r="S69">
        <v>1</v>
      </c>
      <c r="T69">
        <v>1</v>
      </c>
      <c r="U69" s="1" t="s">
        <v>474</v>
      </c>
      <c r="V69" s="1" t="s">
        <v>475</v>
      </c>
      <c r="W69" s="1">
        <f t="shared" si="1"/>
        <v>221.71</v>
      </c>
      <c r="X69" s="1" t="s">
        <v>323</v>
      </c>
      <c r="Y69">
        <v>1</v>
      </c>
      <c r="Z69">
        <v>1</v>
      </c>
      <c r="AA69">
        <v>69</v>
      </c>
    </row>
    <row r="70" spans="1:27" x14ac:dyDescent="0.3">
      <c r="A70" s="1" t="s">
        <v>476</v>
      </c>
      <c r="B70">
        <v>69</v>
      </c>
      <c r="C70" s="1" t="s">
        <v>477</v>
      </c>
      <c r="D70" s="1" t="s">
        <v>478</v>
      </c>
      <c r="E70" s="1" t="s">
        <v>29</v>
      </c>
      <c r="F70" s="1" t="s">
        <v>479</v>
      </c>
      <c r="G70" s="1" t="s">
        <v>480</v>
      </c>
      <c r="H70" s="1" t="s">
        <v>74</v>
      </c>
      <c r="I70" s="1" t="s">
        <v>32</v>
      </c>
      <c r="J70" s="1" t="s">
        <v>75</v>
      </c>
      <c r="K70" s="1" t="s">
        <v>481</v>
      </c>
      <c r="L70">
        <v>3</v>
      </c>
      <c r="M70">
        <v>0</v>
      </c>
      <c r="N70">
        <v>0</v>
      </c>
      <c r="O70">
        <v>4</v>
      </c>
      <c r="P70">
        <v>3</v>
      </c>
      <c r="Q70">
        <v>0</v>
      </c>
      <c r="R70">
        <v>0</v>
      </c>
      <c r="S70">
        <v>1</v>
      </c>
      <c r="T70">
        <v>1</v>
      </c>
      <c r="U70" s="1" t="s">
        <v>481</v>
      </c>
      <c r="V70" s="1" t="s">
        <v>482</v>
      </c>
      <c r="W70" s="1">
        <f t="shared" si="1"/>
        <v>69.16</v>
      </c>
      <c r="X70" s="1" t="s">
        <v>410</v>
      </c>
      <c r="Y70">
        <v>1</v>
      </c>
      <c r="Z70">
        <v>1</v>
      </c>
      <c r="AA70">
        <v>70</v>
      </c>
    </row>
    <row r="71" spans="1:27" x14ac:dyDescent="0.3">
      <c r="A71" s="1" t="s">
        <v>483</v>
      </c>
      <c r="B71">
        <v>70</v>
      </c>
      <c r="C71" s="1" t="s">
        <v>484</v>
      </c>
      <c r="D71" s="1" t="s">
        <v>39</v>
      </c>
      <c r="E71" s="1" t="s">
        <v>39</v>
      </c>
      <c r="F71" s="1" t="s">
        <v>39</v>
      </c>
      <c r="G71" s="1" t="s">
        <v>39</v>
      </c>
      <c r="H71" s="1" t="s">
        <v>29</v>
      </c>
      <c r="I71" s="1" t="s">
        <v>32</v>
      </c>
      <c r="J71" s="1" t="s">
        <v>41</v>
      </c>
      <c r="K71" s="1" t="s">
        <v>485</v>
      </c>
      <c r="L71">
        <v>1</v>
      </c>
      <c r="M71">
        <v>0</v>
      </c>
      <c r="N71">
        <v>0</v>
      </c>
      <c r="O71">
        <v>5</v>
      </c>
      <c r="P71">
        <v>1</v>
      </c>
      <c r="Q71">
        <v>0</v>
      </c>
      <c r="R71">
        <v>0</v>
      </c>
      <c r="S71">
        <v>1</v>
      </c>
      <c r="T71">
        <v>1</v>
      </c>
      <c r="U71" s="1" t="s">
        <v>486</v>
      </c>
      <c r="V71" s="1" t="s">
        <v>111</v>
      </c>
      <c r="W71" s="1">
        <f t="shared" si="1"/>
        <v>80.229999999999905</v>
      </c>
      <c r="X71" s="1" t="s">
        <v>487</v>
      </c>
      <c r="Y71">
        <v>1</v>
      </c>
      <c r="Z71">
        <v>1</v>
      </c>
      <c r="AA71">
        <v>71</v>
      </c>
    </row>
    <row r="72" spans="1:27" x14ac:dyDescent="0.3">
      <c r="A72" s="1" t="s">
        <v>488</v>
      </c>
      <c r="B72">
        <v>71</v>
      </c>
      <c r="C72" s="1" t="s">
        <v>489</v>
      </c>
      <c r="D72" s="1" t="s">
        <v>490</v>
      </c>
      <c r="E72" s="1" t="s">
        <v>41</v>
      </c>
      <c r="F72" s="1" t="s">
        <v>491</v>
      </c>
      <c r="G72" s="1" t="s">
        <v>492</v>
      </c>
      <c r="H72" s="1" t="s">
        <v>32</v>
      </c>
      <c r="I72" s="1" t="s">
        <v>32</v>
      </c>
      <c r="J72" s="1" t="s">
        <v>32</v>
      </c>
      <c r="K72" s="1" t="s">
        <v>421</v>
      </c>
      <c r="L72">
        <v>1</v>
      </c>
      <c r="M72">
        <v>0</v>
      </c>
      <c r="N72">
        <v>0</v>
      </c>
      <c r="O72">
        <v>6</v>
      </c>
      <c r="P72">
        <v>1</v>
      </c>
      <c r="Q72">
        <v>0</v>
      </c>
      <c r="R72">
        <v>0</v>
      </c>
      <c r="S72">
        <v>1</v>
      </c>
      <c r="T72">
        <v>1</v>
      </c>
      <c r="U72" s="1" t="s">
        <v>422</v>
      </c>
      <c r="V72" s="1" t="s">
        <v>169</v>
      </c>
      <c r="W72" s="1">
        <f t="shared" si="1"/>
        <v>270.07</v>
      </c>
      <c r="X72" s="1" t="s">
        <v>346</v>
      </c>
      <c r="Y72">
        <v>1</v>
      </c>
      <c r="Z72">
        <v>1</v>
      </c>
      <c r="AA72">
        <v>72</v>
      </c>
    </row>
    <row r="73" spans="1:27" x14ac:dyDescent="0.3">
      <c r="A73" s="1" t="s">
        <v>493</v>
      </c>
      <c r="B73">
        <v>72</v>
      </c>
      <c r="C73" s="1" t="s">
        <v>494</v>
      </c>
      <c r="D73" s="1" t="s">
        <v>495</v>
      </c>
      <c r="E73" s="1" t="s">
        <v>32</v>
      </c>
      <c r="F73" s="1" t="s">
        <v>495</v>
      </c>
      <c r="G73" s="1" t="s">
        <v>495</v>
      </c>
      <c r="H73" s="1" t="s">
        <v>41</v>
      </c>
      <c r="I73" s="1" t="s">
        <v>32</v>
      </c>
      <c r="J73" s="1" t="s">
        <v>74</v>
      </c>
      <c r="K73" s="1" t="s">
        <v>496</v>
      </c>
      <c r="L73">
        <v>1</v>
      </c>
      <c r="M73">
        <v>2</v>
      </c>
      <c r="N73">
        <v>1</v>
      </c>
      <c r="O73">
        <v>1</v>
      </c>
      <c r="P73">
        <v>4</v>
      </c>
      <c r="Q73">
        <v>0</v>
      </c>
      <c r="R73">
        <v>0</v>
      </c>
      <c r="S73">
        <v>1</v>
      </c>
      <c r="T73">
        <v>1</v>
      </c>
      <c r="U73" s="1" t="s">
        <v>496</v>
      </c>
      <c r="V73" s="1" t="s">
        <v>127</v>
      </c>
      <c r="W73" s="1">
        <f t="shared" si="1"/>
        <v>47.46</v>
      </c>
      <c r="X73" s="1" t="s">
        <v>497</v>
      </c>
      <c r="Y73">
        <v>1</v>
      </c>
      <c r="Z73">
        <v>1</v>
      </c>
      <c r="AA73">
        <v>73</v>
      </c>
    </row>
    <row r="74" spans="1:27" x14ac:dyDescent="0.3">
      <c r="A74" s="1" t="s">
        <v>498</v>
      </c>
      <c r="B74">
        <v>73</v>
      </c>
      <c r="C74" s="1" t="s">
        <v>499</v>
      </c>
      <c r="D74" s="1" t="s">
        <v>500</v>
      </c>
      <c r="E74" s="1" t="s">
        <v>29</v>
      </c>
      <c r="F74" s="1" t="s">
        <v>501</v>
      </c>
      <c r="G74" s="1" t="s">
        <v>502</v>
      </c>
      <c r="H74" s="1" t="s">
        <v>48</v>
      </c>
      <c r="I74" s="1" t="s">
        <v>32</v>
      </c>
      <c r="J74" s="1" t="s">
        <v>29</v>
      </c>
      <c r="K74" s="1" t="s">
        <v>359</v>
      </c>
      <c r="L74">
        <v>2</v>
      </c>
      <c r="M74">
        <v>0</v>
      </c>
      <c r="N74">
        <v>0</v>
      </c>
      <c r="O74">
        <v>2</v>
      </c>
      <c r="P74">
        <v>2</v>
      </c>
      <c r="Q74">
        <v>0</v>
      </c>
      <c r="R74">
        <v>0</v>
      </c>
      <c r="S74">
        <v>1</v>
      </c>
      <c r="T74">
        <v>1</v>
      </c>
      <c r="U74" s="1" t="s">
        <v>360</v>
      </c>
      <c r="V74" s="1" t="s">
        <v>288</v>
      </c>
      <c r="W74" s="1">
        <f t="shared" si="1"/>
        <v>301.70999999999998</v>
      </c>
      <c r="X74" s="1" t="s">
        <v>361</v>
      </c>
      <c r="Y74">
        <v>1</v>
      </c>
      <c r="Z74">
        <v>1</v>
      </c>
      <c r="AA74">
        <v>74</v>
      </c>
    </row>
    <row r="75" spans="1:27" x14ac:dyDescent="0.3">
      <c r="A75" s="1" t="s">
        <v>503</v>
      </c>
      <c r="B75">
        <v>74</v>
      </c>
      <c r="C75" s="1" t="s">
        <v>504</v>
      </c>
      <c r="D75" s="1" t="s">
        <v>505</v>
      </c>
      <c r="E75" s="1" t="s">
        <v>39</v>
      </c>
      <c r="F75" s="1" t="s">
        <v>505</v>
      </c>
      <c r="G75" s="1" t="s">
        <v>506</v>
      </c>
      <c r="H75" s="1" t="s">
        <v>55</v>
      </c>
      <c r="I75" s="1" t="s">
        <v>32</v>
      </c>
      <c r="J75" s="1" t="s">
        <v>75</v>
      </c>
      <c r="K75" s="1" t="s">
        <v>507</v>
      </c>
      <c r="L75">
        <v>2</v>
      </c>
      <c r="M75">
        <v>0</v>
      </c>
      <c r="N75">
        <v>0</v>
      </c>
      <c r="O75">
        <v>3</v>
      </c>
      <c r="P75">
        <v>2</v>
      </c>
      <c r="Q75">
        <v>0</v>
      </c>
      <c r="R75">
        <v>0</v>
      </c>
      <c r="S75">
        <v>1</v>
      </c>
      <c r="T75">
        <v>1</v>
      </c>
      <c r="U75" s="1" t="s">
        <v>508</v>
      </c>
      <c r="V75" s="1" t="s">
        <v>509</v>
      </c>
      <c r="W75" s="1">
        <f t="shared" si="1"/>
        <v>197.85999999999899</v>
      </c>
      <c r="X75" s="1" t="s">
        <v>510</v>
      </c>
      <c r="Y75">
        <v>1</v>
      </c>
      <c r="Z75">
        <v>1</v>
      </c>
      <c r="AA75">
        <v>75</v>
      </c>
    </row>
    <row r="76" spans="1:27" x14ac:dyDescent="0.3">
      <c r="A76" s="1" t="s">
        <v>511</v>
      </c>
      <c r="B76">
        <v>75</v>
      </c>
      <c r="C76" s="1" t="s">
        <v>512</v>
      </c>
      <c r="D76" s="1" t="s">
        <v>395</v>
      </c>
      <c r="E76" s="1" t="s">
        <v>41</v>
      </c>
      <c r="F76" s="1" t="s">
        <v>513</v>
      </c>
      <c r="G76" s="1" t="s">
        <v>513</v>
      </c>
      <c r="H76" s="1" t="s">
        <v>63</v>
      </c>
      <c r="I76" s="1" t="s">
        <v>32</v>
      </c>
      <c r="J76" s="1" t="s">
        <v>41</v>
      </c>
      <c r="K76" s="1" t="s">
        <v>514</v>
      </c>
      <c r="L76">
        <v>2</v>
      </c>
      <c r="M76">
        <v>0</v>
      </c>
      <c r="N76">
        <v>0</v>
      </c>
      <c r="O76">
        <v>4</v>
      </c>
      <c r="P76">
        <v>2</v>
      </c>
      <c r="Q76">
        <v>0</v>
      </c>
      <c r="R76">
        <v>0</v>
      </c>
      <c r="S76">
        <v>1</v>
      </c>
      <c r="T76">
        <v>1</v>
      </c>
      <c r="U76" s="1" t="s">
        <v>514</v>
      </c>
      <c r="V76" s="1" t="s">
        <v>152</v>
      </c>
      <c r="W76" s="1">
        <f t="shared" si="1"/>
        <v>63.28</v>
      </c>
      <c r="X76" s="1" t="s">
        <v>515</v>
      </c>
      <c r="Y76">
        <v>1</v>
      </c>
      <c r="Z76">
        <v>1</v>
      </c>
      <c r="AA76">
        <v>76</v>
      </c>
    </row>
    <row r="77" spans="1:27" x14ac:dyDescent="0.3">
      <c r="A77" s="1" t="s">
        <v>516</v>
      </c>
      <c r="B77">
        <v>76</v>
      </c>
      <c r="C77" s="1" t="s">
        <v>517</v>
      </c>
      <c r="D77" s="1" t="s">
        <v>403</v>
      </c>
      <c r="E77" s="1" t="s">
        <v>32</v>
      </c>
      <c r="F77" s="1" t="s">
        <v>280</v>
      </c>
      <c r="G77" s="1" t="s">
        <v>48</v>
      </c>
      <c r="H77" s="1" t="s">
        <v>74</v>
      </c>
      <c r="I77" s="1" t="s">
        <v>32</v>
      </c>
      <c r="J77" s="1" t="s">
        <v>32</v>
      </c>
      <c r="K77" s="1" t="s">
        <v>518</v>
      </c>
      <c r="L77">
        <v>3</v>
      </c>
      <c r="M77">
        <v>1</v>
      </c>
      <c r="N77">
        <v>0</v>
      </c>
      <c r="O77">
        <v>5</v>
      </c>
      <c r="P77">
        <v>4</v>
      </c>
      <c r="Q77">
        <v>0</v>
      </c>
      <c r="R77">
        <v>0</v>
      </c>
      <c r="S77">
        <v>1</v>
      </c>
      <c r="T77">
        <v>1</v>
      </c>
      <c r="U77" s="1" t="s">
        <v>519</v>
      </c>
      <c r="V77" s="1" t="s">
        <v>520</v>
      </c>
      <c r="W77" s="1">
        <f t="shared" si="1"/>
        <v>62.26</v>
      </c>
      <c r="X77" s="1" t="s">
        <v>378</v>
      </c>
      <c r="Y77">
        <v>1</v>
      </c>
      <c r="Z77">
        <v>1</v>
      </c>
      <c r="AA77">
        <v>77</v>
      </c>
    </row>
    <row r="78" spans="1:27" x14ac:dyDescent="0.3">
      <c r="A78" s="1" t="s">
        <v>521</v>
      </c>
      <c r="B78">
        <v>77</v>
      </c>
      <c r="C78" s="1" t="s">
        <v>522</v>
      </c>
      <c r="D78" s="1" t="s">
        <v>523</v>
      </c>
      <c r="E78" s="1" t="s">
        <v>29</v>
      </c>
      <c r="F78" s="1" t="s">
        <v>523</v>
      </c>
      <c r="G78" s="1" t="s">
        <v>524</v>
      </c>
      <c r="H78" s="1" t="s">
        <v>29</v>
      </c>
      <c r="I78" s="1" t="s">
        <v>32</v>
      </c>
      <c r="J78" s="1" t="s">
        <v>74</v>
      </c>
      <c r="K78" s="1" t="s">
        <v>525</v>
      </c>
      <c r="L78">
        <v>3</v>
      </c>
      <c r="M78">
        <v>0</v>
      </c>
      <c r="N78">
        <v>0</v>
      </c>
      <c r="O78">
        <v>6</v>
      </c>
      <c r="P78">
        <v>3</v>
      </c>
      <c r="Q78">
        <v>0</v>
      </c>
      <c r="R78">
        <v>0</v>
      </c>
      <c r="S78">
        <v>1</v>
      </c>
      <c r="T78">
        <v>1</v>
      </c>
      <c r="U78" s="1" t="s">
        <v>526</v>
      </c>
      <c r="V78" s="1" t="s">
        <v>169</v>
      </c>
      <c r="W78" s="1">
        <f t="shared" si="1"/>
        <v>270.07</v>
      </c>
      <c r="X78" s="1" t="s">
        <v>310</v>
      </c>
      <c r="Y78">
        <v>1</v>
      </c>
      <c r="Z78">
        <v>1</v>
      </c>
      <c r="AA78">
        <v>78</v>
      </c>
    </row>
    <row r="79" spans="1:27" x14ac:dyDescent="0.3">
      <c r="A79" s="1" t="s">
        <v>527</v>
      </c>
      <c r="B79">
        <v>78</v>
      </c>
      <c r="C79" s="1" t="s">
        <v>528</v>
      </c>
      <c r="D79" s="1" t="s">
        <v>529</v>
      </c>
      <c r="E79" s="1" t="s">
        <v>39</v>
      </c>
      <c r="F79" s="1" t="s">
        <v>530</v>
      </c>
      <c r="G79" s="1" t="s">
        <v>529</v>
      </c>
      <c r="H79" s="1" t="s">
        <v>32</v>
      </c>
      <c r="I79" s="1" t="s">
        <v>32</v>
      </c>
      <c r="J79" s="1" t="s">
        <v>29</v>
      </c>
      <c r="K79" s="1" t="s">
        <v>462</v>
      </c>
      <c r="L79">
        <v>3</v>
      </c>
      <c r="M79">
        <v>2</v>
      </c>
      <c r="N79">
        <v>0</v>
      </c>
      <c r="O79">
        <v>1</v>
      </c>
      <c r="P79">
        <v>5</v>
      </c>
      <c r="Q79">
        <v>0</v>
      </c>
      <c r="R79">
        <v>0</v>
      </c>
      <c r="S79">
        <v>1</v>
      </c>
      <c r="T79">
        <v>1</v>
      </c>
      <c r="U79" s="1" t="s">
        <v>462</v>
      </c>
      <c r="V79" s="1" t="s">
        <v>177</v>
      </c>
      <c r="W79" s="1">
        <f t="shared" si="1"/>
        <v>61.02</v>
      </c>
      <c r="X79" s="1" t="s">
        <v>463</v>
      </c>
      <c r="Y79">
        <v>1</v>
      </c>
      <c r="Z79">
        <v>1</v>
      </c>
      <c r="AA79">
        <v>79</v>
      </c>
    </row>
    <row r="80" spans="1:27" x14ac:dyDescent="0.3">
      <c r="A80" s="1" t="s">
        <v>531</v>
      </c>
      <c r="B80">
        <v>79</v>
      </c>
      <c r="C80" s="1" t="s">
        <v>532</v>
      </c>
      <c r="D80" s="1" t="s">
        <v>533</v>
      </c>
      <c r="E80" s="1" t="s">
        <v>41</v>
      </c>
      <c r="F80" s="1" t="s">
        <v>534</v>
      </c>
      <c r="G80" s="1" t="s">
        <v>535</v>
      </c>
      <c r="H80" s="1" t="s">
        <v>41</v>
      </c>
      <c r="I80" s="1" t="s">
        <v>32</v>
      </c>
      <c r="J80" s="1" t="s">
        <v>75</v>
      </c>
      <c r="K80" s="1" t="s">
        <v>359</v>
      </c>
      <c r="L80">
        <v>3</v>
      </c>
      <c r="M80">
        <v>0</v>
      </c>
      <c r="N80">
        <v>0</v>
      </c>
      <c r="O80">
        <v>2</v>
      </c>
      <c r="P80">
        <v>3</v>
      </c>
      <c r="Q80">
        <v>0</v>
      </c>
      <c r="R80">
        <v>0</v>
      </c>
      <c r="S80">
        <v>1</v>
      </c>
      <c r="T80">
        <v>1</v>
      </c>
      <c r="U80" s="1" t="s">
        <v>360</v>
      </c>
      <c r="V80" s="1" t="s">
        <v>87</v>
      </c>
      <c r="W80" s="1">
        <f t="shared" si="1"/>
        <v>274.58999999999997</v>
      </c>
      <c r="X80" s="1" t="s">
        <v>468</v>
      </c>
      <c r="Y80">
        <v>1</v>
      </c>
      <c r="Z80">
        <v>1</v>
      </c>
      <c r="AA80">
        <v>80</v>
      </c>
    </row>
    <row r="81" spans="1:27" x14ac:dyDescent="0.3">
      <c r="A81" s="1" t="s">
        <v>536</v>
      </c>
      <c r="B81">
        <v>80</v>
      </c>
      <c r="C81" s="1" t="s">
        <v>537</v>
      </c>
      <c r="D81" s="1" t="s">
        <v>538</v>
      </c>
      <c r="E81" s="1" t="s">
        <v>32</v>
      </c>
      <c r="F81" s="1" t="s">
        <v>539</v>
      </c>
      <c r="G81" s="1" t="s">
        <v>540</v>
      </c>
      <c r="H81" s="1" t="s">
        <v>48</v>
      </c>
      <c r="I81" s="1" t="s">
        <v>32</v>
      </c>
      <c r="J81" s="1" t="s">
        <v>41</v>
      </c>
      <c r="K81" s="1" t="s">
        <v>541</v>
      </c>
      <c r="L81">
        <v>1</v>
      </c>
      <c r="M81">
        <v>1</v>
      </c>
      <c r="N81">
        <v>0</v>
      </c>
      <c r="O81">
        <v>3</v>
      </c>
      <c r="P81">
        <v>2</v>
      </c>
      <c r="Q81">
        <v>0</v>
      </c>
      <c r="R81">
        <v>0</v>
      </c>
      <c r="S81">
        <v>1</v>
      </c>
      <c r="T81">
        <v>1</v>
      </c>
      <c r="U81" s="1" t="s">
        <v>542</v>
      </c>
      <c r="V81" s="1" t="s">
        <v>96</v>
      </c>
      <c r="W81" s="1">
        <f t="shared" si="1"/>
        <v>229.39</v>
      </c>
      <c r="X81" s="1" t="s">
        <v>543</v>
      </c>
      <c r="Y81">
        <v>1</v>
      </c>
      <c r="Z81">
        <v>1</v>
      </c>
      <c r="AA81">
        <v>81</v>
      </c>
    </row>
    <row r="82" spans="1:27" x14ac:dyDescent="0.3">
      <c r="A82" s="1" t="s">
        <v>544</v>
      </c>
      <c r="B82">
        <v>81</v>
      </c>
      <c r="C82" s="1" t="s">
        <v>545</v>
      </c>
      <c r="D82" s="1" t="s">
        <v>546</v>
      </c>
      <c r="E82" s="1" t="s">
        <v>29</v>
      </c>
      <c r="F82" s="1" t="s">
        <v>33</v>
      </c>
      <c r="G82" s="1" t="s">
        <v>547</v>
      </c>
      <c r="H82" s="1" t="s">
        <v>55</v>
      </c>
      <c r="I82" s="1" t="s">
        <v>33</v>
      </c>
      <c r="J82" s="1" t="s">
        <v>33</v>
      </c>
      <c r="K82" s="1" t="s">
        <v>34</v>
      </c>
      <c r="L82">
        <v>1</v>
      </c>
      <c r="M82">
        <v>0</v>
      </c>
      <c r="N82">
        <v>0</v>
      </c>
      <c r="O82">
        <v>4</v>
      </c>
      <c r="P82">
        <v>1</v>
      </c>
      <c r="Q82">
        <v>1</v>
      </c>
      <c r="R82">
        <v>0</v>
      </c>
      <c r="S82">
        <v>0</v>
      </c>
      <c r="T82">
        <v>0</v>
      </c>
      <c r="U82" s="1" t="s">
        <v>548</v>
      </c>
      <c r="V82" s="1">
        <v>0</v>
      </c>
      <c r="W82" s="1">
        <f t="shared" si="1"/>
        <v>0</v>
      </c>
      <c r="X82" s="1" t="s">
        <v>548</v>
      </c>
      <c r="Y82">
        <v>1</v>
      </c>
      <c r="Z82">
        <v>0</v>
      </c>
      <c r="AA82">
        <v>82</v>
      </c>
    </row>
    <row r="83" spans="1:27" x14ac:dyDescent="0.3">
      <c r="A83" s="1" t="s">
        <v>549</v>
      </c>
      <c r="B83">
        <v>82</v>
      </c>
      <c r="C83" s="1" t="s">
        <v>550</v>
      </c>
      <c r="D83" s="1" t="s">
        <v>551</v>
      </c>
      <c r="E83" s="1" t="s">
        <v>39</v>
      </c>
      <c r="F83" s="1" t="s">
        <v>551</v>
      </c>
      <c r="G83" s="1" t="s">
        <v>551</v>
      </c>
      <c r="H83" s="1" t="s">
        <v>63</v>
      </c>
      <c r="I83" s="1" t="s">
        <v>33</v>
      </c>
      <c r="J83" s="1" t="s">
        <v>33</v>
      </c>
      <c r="K83" s="1" t="s">
        <v>34</v>
      </c>
      <c r="L83">
        <v>1</v>
      </c>
      <c r="M83">
        <v>0</v>
      </c>
      <c r="N83">
        <v>0</v>
      </c>
      <c r="O83">
        <v>5</v>
      </c>
      <c r="P83">
        <v>1</v>
      </c>
      <c r="Q83">
        <v>1</v>
      </c>
      <c r="R83">
        <v>0</v>
      </c>
      <c r="S83">
        <v>0</v>
      </c>
      <c r="T83">
        <v>0</v>
      </c>
      <c r="U83" s="1" t="s">
        <v>416</v>
      </c>
      <c r="V83" s="1">
        <v>0</v>
      </c>
      <c r="W83" s="1">
        <f t="shared" si="1"/>
        <v>0</v>
      </c>
      <c r="X83" s="1" t="s">
        <v>416</v>
      </c>
      <c r="Y83">
        <v>1</v>
      </c>
      <c r="Z83">
        <v>0</v>
      </c>
      <c r="AA83">
        <v>83</v>
      </c>
    </row>
    <row r="84" spans="1:27" x14ac:dyDescent="0.3">
      <c r="A84" s="1" t="s">
        <v>552</v>
      </c>
      <c r="B84">
        <v>83</v>
      </c>
      <c r="C84" s="1" t="s">
        <v>553</v>
      </c>
      <c r="D84" s="1" t="s">
        <v>554</v>
      </c>
      <c r="E84" s="1" t="s">
        <v>41</v>
      </c>
      <c r="F84" s="1" t="s">
        <v>554</v>
      </c>
      <c r="G84" s="1" t="s">
        <v>555</v>
      </c>
      <c r="H84" s="1" t="s">
        <v>74</v>
      </c>
      <c r="I84" s="1" t="s">
        <v>33</v>
      </c>
      <c r="J84" s="1" t="s">
        <v>33</v>
      </c>
      <c r="K84" s="1" t="s">
        <v>34</v>
      </c>
      <c r="L84">
        <v>2</v>
      </c>
      <c r="M84">
        <v>0</v>
      </c>
      <c r="N84">
        <v>0</v>
      </c>
      <c r="O84">
        <v>6</v>
      </c>
      <c r="P84">
        <v>2</v>
      </c>
      <c r="Q84">
        <v>1</v>
      </c>
      <c r="R84">
        <v>0</v>
      </c>
      <c r="S84">
        <v>0</v>
      </c>
      <c r="T84">
        <v>0</v>
      </c>
      <c r="U84" s="1" t="s">
        <v>556</v>
      </c>
      <c r="V84" s="1">
        <v>0</v>
      </c>
      <c r="W84" s="1">
        <f t="shared" si="1"/>
        <v>0</v>
      </c>
      <c r="X84" s="1" t="s">
        <v>556</v>
      </c>
      <c r="Y84">
        <v>1</v>
      </c>
      <c r="Z84">
        <v>0</v>
      </c>
      <c r="AA84">
        <v>84</v>
      </c>
    </row>
    <row r="85" spans="1:27" x14ac:dyDescent="0.3">
      <c r="A85" s="1" t="s">
        <v>557</v>
      </c>
      <c r="B85">
        <v>84</v>
      </c>
      <c r="C85" s="1" t="s">
        <v>558</v>
      </c>
      <c r="D85" s="1" t="s">
        <v>559</v>
      </c>
      <c r="E85" s="1" t="s">
        <v>32</v>
      </c>
      <c r="F85" s="1" t="s">
        <v>448</v>
      </c>
      <c r="G85" s="1" t="s">
        <v>560</v>
      </c>
      <c r="H85" s="1" t="s">
        <v>29</v>
      </c>
      <c r="I85" s="1" t="s">
        <v>56</v>
      </c>
      <c r="J85" s="1" t="s">
        <v>33</v>
      </c>
      <c r="K85" s="1" t="s">
        <v>34</v>
      </c>
      <c r="L85">
        <v>2</v>
      </c>
      <c r="M85">
        <v>2</v>
      </c>
      <c r="N85">
        <v>1</v>
      </c>
      <c r="O85">
        <v>1</v>
      </c>
      <c r="P85">
        <v>5</v>
      </c>
      <c r="Q85">
        <v>0</v>
      </c>
      <c r="R85">
        <v>1</v>
      </c>
      <c r="S85">
        <v>0</v>
      </c>
      <c r="T85">
        <v>0</v>
      </c>
      <c r="U85" s="1" t="s">
        <v>561</v>
      </c>
      <c r="V85" s="1">
        <v>0</v>
      </c>
      <c r="W85" s="1">
        <f t="shared" si="1"/>
        <v>0</v>
      </c>
      <c r="X85" s="1" t="s">
        <v>561</v>
      </c>
      <c r="Y85">
        <v>1</v>
      </c>
      <c r="Z85">
        <v>0</v>
      </c>
      <c r="AA85">
        <v>85</v>
      </c>
    </row>
    <row r="86" spans="1:27" x14ac:dyDescent="0.3">
      <c r="A86" s="1" t="s">
        <v>562</v>
      </c>
      <c r="B86">
        <v>85</v>
      </c>
      <c r="C86" s="1" t="s">
        <v>563</v>
      </c>
      <c r="D86" s="1" t="s">
        <v>564</v>
      </c>
      <c r="E86" s="1" t="s">
        <v>29</v>
      </c>
      <c r="F86" s="1" t="s">
        <v>565</v>
      </c>
      <c r="G86" s="1" t="s">
        <v>566</v>
      </c>
      <c r="H86" s="1" t="s">
        <v>32</v>
      </c>
      <c r="I86" s="1" t="s">
        <v>64</v>
      </c>
      <c r="J86" s="1" t="s">
        <v>74</v>
      </c>
      <c r="K86" s="1" t="s">
        <v>567</v>
      </c>
      <c r="L86">
        <v>2</v>
      </c>
      <c r="M86">
        <v>0</v>
      </c>
      <c r="N86">
        <v>0</v>
      </c>
      <c r="O86">
        <v>2</v>
      </c>
      <c r="P86">
        <v>2</v>
      </c>
      <c r="Q86">
        <v>0</v>
      </c>
      <c r="R86">
        <v>0</v>
      </c>
      <c r="S86">
        <v>0</v>
      </c>
      <c r="T86">
        <v>0</v>
      </c>
      <c r="U86" s="1" t="s">
        <v>568</v>
      </c>
      <c r="V86" s="1" t="s">
        <v>219</v>
      </c>
      <c r="W86" s="1">
        <f t="shared" si="1"/>
        <v>206.79</v>
      </c>
      <c r="X86" s="1" t="s">
        <v>569</v>
      </c>
      <c r="Y86">
        <v>1</v>
      </c>
      <c r="Z86">
        <v>0</v>
      </c>
      <c r="AA86">
        <v>86</v>
      </c>
    </row>
    <row r="87" spans="1:27" x14ac:dyDescent="0.3">
      <c r="A87" s="1" t="s">
        <v>570</v>
      </c>
      <c r="B87">
        <v>86</v>
      </c>
      <c r="C87" s="1" t="s">
        <v>571</v>
      </c>
      <c r="D87" s="1" t="s">
        <v>572</v>
      </c>
      <c r="E87" s="1" t="s">
        <v>39</v>
      </c>
      <c r="F87" s="1" t="s">
        <v>459</v>
      </c>
      <c r="G87" s="1" t="s">
        <v>573</v>
      </c>
      <c r="H87" s="1" t="s">
        <v>41</v>
      </c>
      <c r="I87" s="1" t="s">
        <v>64</v>
      </c>
      <c r="J87" s="1" t="s">
        <v>29</v>
      </c>
      <c r="K87" s="1" t="s">
        <v>574</v>
      </c>
      <c r="L87">
        <v>3</v>
      </c>
      <c r="M87">
        <v>0</v>
      </c>
      <c r="N87">
        <v>0</v>
      </c>
      <c r="O87">
        <v>3</v>
      </c>
      <c r="P87">
        <v>3</v>
      </c>
      <c r="Q87">
        <v>0</v>
      </c>
      <c r="R87">
        <v>0</v>
      </c>
      <c r="S87">
        <v>0</v>
      </c>
      <c r="T87">
        <v>0</v>
      </c>
      <c r="U87" s="1" t="s">
        <v>57</v>
      </c>
      <c r="V87" s="1" t="s">
        <v>226</v>
      </c>
      <c r="W87" s="1">
        <f t="shared" si="1"/>
        <v>94.92</v>
      </c>
      <c r="X87" s="1" t="s">
        <v>439</v>
      </c>
      <c r="Y87">
        <v>1</v>
      </c>
      <c r="Z87">
        <v>0</v>
      </c>
      <c r="AA87">
        <v>87</v>
      </c>
    </row>
    <row r="88" spans="1:27" x14ac:dyDescent="0.3">
      <c r="A88" s="1" t="s">
        <v>575</v>
      </c>
      <c r="B88">
        <v>87</v>
      </c>
      <c r="C88" s="1" t="s">
        <v>576</v>
      </c>
      <c r="D88" s="1" t="s">
        <v>577</v>
      </c>
      <c r="E88" s="1" t="s">
        <v>41</v>
      </c>
      <c r="F88" s="1" t="s">
        <v>467</v>
      </c>
      <c r="G88" s="1" t="s">
        <v>578</v>
      </c>
      <c r="H88" s="1" t="s">
        <v>48</v>
      </c>
      <c r="I88" s="1" t="s">
        <v>32</v>
      </c>
      <c r="J88" s="1" t="s">
        <v>29</v>
      </c>
      <c r="K88" s="1" t="s">
        <v>370</v>
      </c>
      <c r="L88">
        <v>3</v>
      </c>
      <c r="M88">
        <v>0</v>
      </c>
      <c r="N88">
        <v>0</v>
      </c>
      <c r="O88">
        <v>4</v>
      </c>
      <c r="P88">
        <v>3</v>
      </c>
      <c r="Q88">
        <v>0</v>
      </c>
      <c r="R88">
        <v>0</v>
      </c>
      <c r="S88">
        <v>1</v>
      </c>
      <c r="T88">
        <v>1</v>
      </c>
      <c r="U88" s="1" t="s">
        <v>370</v>
      </c>
      <c r="V88" s="1" t="s">
        <v>152</v>
      </c>
      <c r="W88" s="1">
        <f t="shared" si="1"/>
        <v>63.28</v>
      </c>
      <c r="X88" s="1" t="s">
        <v>371</v>
      </c>
      <c r="Y88">
        <v>1</v>
      </c>
      <c r="Z88">
        <v>1</v>
      </c>
      <c r="AA88">
        <v>88</v>
      </c>
    </row>
    <row r="89" spans="1:27" x14ac:dyDescent="0.3">
      <c r="A89" s="1" t="s">
        <v>579</v>
      </c>
      <c r="B89">
        <v>88</v>
      </c>
      <c r="C89" s="1" t="s">
        <v>580</v>
      </c>
      <c r="D89" s="1" t="s">
        <v>581</v>
      </c>
      <c r="E89" s="1" t="s">
        <v>32</v>
      </c>
      <c r="F89" s="1" t="s">
        <v>581</v>
      </c>
      <c r="G89" s="1" t="s">
        <v>581</v>
      </c>
      <c r="H89" s="1" t="s">
        <v>55</v>
      </c>
      <c r="I89" s="1" t="s">
        <v>32</v>
      </c>
      <c r="J89" s="1" t="s">
        <v>75</v>
      </c>
      <c r="K89" s="1" t="s">
        <v>376</v>
      </c>
      <c r="L89">
        <v>3</v>
      </c>
      <c r="M89">
        <v>1</v>
      </c>
      <c r="N89">
        <v>0</v>
      </c>
      <c r="O89">
        <v>5</v>
      </c>
      <c r="P89">
        <v>4</v>
      </c>
      <c r="Q89">
        <v>0</v>
      </c>
      <c r="R89">
        <v>0</v>
      </c>
      <c r="S89">
        <v>1</v>
      </c>
      <c r="T89">
        <v>1</v>
      </c>
      <c r="U89" s="1" t="s">
        <v>377</v>
      </c>
      <c r="V89" s="1" t="s">
        <v>161</v>
      </c>
      <c r="W89" s="1">
        <f t="shared" si="1"/>
        <v>66.67</v>
      </c>
      <c r="X89" s="1" t="s">
        <v>378</v>
      </c>
      <c r="Y89">
        <v>1</v>
      </c>
      <c r="Z89">
        <v>1</v>
      </c>
      <c r="AA89">
        <v>89</v>
      </c>
    </row>
    <row r="90" spans="1:27" x14ac:dyDescent="0.3">
      <c r="A90" s="1" t="s">
        <v>582</v>
      </c>
      <c r="B90">
        <v>89</v>
      </c>
      <c r="C90" s="1" t="s">
        <v>583</v>
      </c>
      <c r="D90" s="1" t="s">
        <v>584</v>
      </c>
      <c r="E90" s="1" t="s">
        <v>29</v>
      </c>
      <c r="F90" s="1" t="s">
        <v>584</v>
      </c>
      <c r="G90" s="1" t="s">
        <v>585</v>
      </c>
      <c r="H90" s="1" t="s">
        <v>63</v>
      </c>
      <c r="I90" s="1" t="s">
        <v>32</v>
      </c>
      <c r="J90" s="1" t="s">
        <v>41</v>
      </c>
      <c r="K90" s="1" t="s">
        <v>586</v>
      </c>
      <c r="L90">
        <v>3</v>
      </c>
      <c r="M90">
        <v>0</v>
      </c>
      <c r="N90">
        <v>0</v>
      </c>
      <c r="O90">
        <v>6</v>
      </c>
      <c r="P90">
        <v>3</v>
      </c>
      <c r="Q90">
        <v>0</v>
      </c>
      <c r="R90">
        <v>0</v>
      </c>
      <c r="S90">
        <v>1</v>
      </c>
      <c r="T90">
        <v>1</v>
      </c>
      <c r="U90" s="1" t="s">
        <v>587</v>
      </c>
      <c r="V90" s="1" t="s">
        <v>588</v>
      </c>
      <c r="W90" s="1">
        <f t="shared" si="1"/>
        <v>263.97000000000003</v>
      </c>
      <c r="X90" s="1" t="s">
        <v>310</v>
      </c>
      <c r="Y90">
        <v>1</v>
      </c>
      <c r="Z90">
        <v>1</v>
      </c>
      <c r="AA90">
        <v>90</v>
      </c>
    </row>
    <row r="91" spans="1:27" x14ac:dyDescent="0.3">
      <c r="A91" s="1" t="s">
        <v>589</v>
      </c>
      <c r="B91">
        <v>90</v>
      </c>
      <c r="C91" s="1" t="s">
        <v>590</v>
      </c>
      <c r="D91" s="1" t="s">
        <v>591</v>
      </c>
      <c r="E91" s="1" t="s">
        <v>39</v>
      </c>
      <c r="F91" s="1" t="s">
        <v>592</v>
      </c>
      <c r="G91" s="1" t="s">
        <v>591</v>
      </c>
      <c r="H91" s="1" t="s">
        <v>74</v>
      </c>
      <c r="I91" s="1" t="s">
        <v>32</v>
      </c>
      <c r="J91" s="1" t="s">
        <v>32</v>
      </c>
      <c r="K91" s="1" t="s">
        <v>593</v>
      </c>
      <c r="L91">
        <v>1</v>
      </c>
      <c r="M91">
        <v>2</v>
      </c>
      <c r="N91">
        <v>0</v>
      </c>
      <c r="O91">
        <v>1</v>
      </c>
      <c r="P91">
        <v>3</v>
      </c>
      <c r="Q91">
        <v>0</v>
      </c>
      <c r="R91">
        <v>0</v>
      </c>
      <c r="S91">
        <v>1</v>
      </c>
      <c r="T91">
        <v>1</v>
      </c>
      <c r="U91" s="1" t="s">
        <v>593</v>
      </c>
      <c r="V91" s="1" t="s">
        <v>78</v>
      </c>
      <c r="W91" s="1">
        <f t="shared" si="1"/>
        <v>54.92</v>
      </c>
      <c r="X91" s="1" t="s">
        <v>594</v>
      </c>
      <c r="Y91">
        <v>1</v>
      </c>
      <c r="Z91">
        <v>1</v>
      </c>
      <c r="AA91">
        <v>1</v>
      </c>
    </row>
    <row r="92" spans="1:27" x14ac:dyDescent="0.3">
      <c r="A92" s="1" t="s">
        <v>595</v>
      </c>
      <c r="B92">
        <v>91</v>
      </c>
      <c r="C92" s="1" t="s">
        <v>596</v>
      </c>
      <c r="D92" s="1" t="s">
        <v>597</v>
      </c>
      <c r="E92" s="1" t="s">
        <v>41</v>
      </c>
      <c r="F92" s="1" t="s">
        <v>597</v>
      </c>
      <c r="G92" s="1" t="s">
        <v>597</v>
      </c>
      <c r="H92" s="1" t="s">
        <v>29</v>
      </c>
      <c r="I92" s="1" t="s">
        <v>32</v>
      </c>
      <c r="J92" s="1" t="s">
        <v>74</v>
      </c>
      <c r="K92" s="1" t="s">
        <v>359</v>
      </c>
      <c r="L92">
        <v>1</v>
      </c>
      <c r="M92">
        <v>0</v>
      </c>
      <c r="N92">
        <v>0</v>
      </c>
      <c r="O92">
        <v>2</v>
      </c>
      <c r="P92">
        <v>1</v>
      </c>
      <c r="Q92">
        <v>0</v>
      </c>
      <c r="R92">
        <v>0</v>
      </c>
      <c r="S92">
        <v>1</v>
      </c>
      <c r="T92">
        <v>1</v>
      </c>
      <c r="U92" s="1" t="s">
        <v>360</v>
      </c>
      <c r="V92" s="1" t="s">
        <v>87</v>
      </c>
      <c r="W92" s="1">
        <f t="shared" si="1"/>
        <v>274.58999999999997</v>
      </c>
      <c r="X92" s="1" t="s">
        <v>468</v>
      </c>
      <c r="Y92">
        <v>1</v>
      </c>
      <c r="Z92">
        <v>1</v>
      </c>
      <c r="AA92">
        <v>2</v>
      </c>
    </row>
    <row r="93" spans="1:27" x14ac:dyDescent="0.3">
      <c r="A93" s="1" t="s">
        <v>598</v>
      </c>
      <c r="B93">
        <v>92</v>
      </c>
      <c r="C93" s="1" t="s">
        <v>599</v>
      </c>
      <c r="D93" s="1" t="s">
        <v>600</v>
      </c>
      <c r="E93" s="1" t="s">
        <v>32</v>
      </c>
      <c r="F93" s="1" t="s">
        <v>601</v>
      </c>
      <c r="G93" s="1" t="s">
        <v>602</v>
      </c>
      <c r="H93" s="1" t="s">
        <v>32</v>
      </c>
      <c r="I93" s="1" t="s">
        <v>32</v>
      </c>
      <c r="J93" s="1" t="s">
        <v>29</v>
      </c>
      <c r="K93" s="1" t="s">
        <v>404</v>
      </c>
      <c r="L93">
        <v>1</v>
      </c>
      <c r="M93">
        <v>1</v>
      </c>
      <c r="N93">
        <v>0</v>
      </c>
      <c r="O93">
        <v>3</v>
      </c>
      <c r="P93">
        <v>2</v>
      </c>
      <c r="Q93">
        <v>0</v>
      </c>
      <c r="R93">
        <v>0</v>
      </c>
      <c r="S93">
        <v>1</v>
      </c>
      <c r="T93">
        <v>1</v>
      </c>
      <c r="U93" s="1" t="s">
        <v>405</v>
      </c>
      <c r="V93" s="1" t="s">
        <v>96</v>
      </c>
      <c r="W93" s="1">
        <f t="shared" si="1"/>
        <v>229.39</v>
      </c>
      <c r="X93" s="1" t="s">
        <v>323</v>
      </c>
      <c r="Y93">
        <v>1</v>
      </c>
      <c r="Z93">
        <v>1</v>
      </c>
      <c r="AA93">
        <v>3</v>
      </c>
    </row>
    <row r="94" spans="1:27" x14ac:dyDescent="0.3">
      <c r="A94" s="1" t="s">
        <v>603</v>
      </c>
      <c r="B94">
        <v>93</v>
      </c>
      <c r="C94" s="1" t="s">
        <v>604</v>
      </c>
      <c r="D94" s="1" t="s">
        <v>605</v>
      </c>
      <c r="E94" s="1" t="s">
        <v>29</v>
      </c>
      <c r="F94" s="1" t="s">
        <v>502</v>
      </c>
      <c r="G94" s="1" t="s">
        <v>605</v>
      </c>
      <c r="H94" s="1" t="s">
        <v>41</v>
      </c>
      <c r="I94" s="1" t="s">
        <v>32</v>
      </c>
      <c r="J94" s="1" t="s">
        <v>75</v>
      </c>
      <c r="K94" s="1" t="s">
        <v>409</v>
      </c>
      <c r="L94">
        <v>2</v>
      </c>
      <c r="M94">
        <v>0</v>
      </c>
      <c r="N94">
        <v>0</v>
      </c>
      <c r="O94">
        <v>4</v>
      </c>
      <c r="P94">
        <v>2</v>
      </c>
      <c r="Q94">
        <v>0</v>
      </c>
      <c r="R94">
        <v>0</v>
      </c>
      <c r="S94">
        <v>1</v>
      </c>
      <c r="T94">
        <v>1</v>
      </c>
      <c r="U94" s="1" t="s">
        <v>409</v>
      </c>
      <c r="V94" s="1" t="s">
        <v>104</v>
      </c>
      <c r="W94" s="1">
        <f t="shared" si="1"/>
        <v>76.84</v>
      </c>
      <c r="X94" s="1" t="s">
        <v>410</v>
      </c>
      <c r="Y94">
        <v>1</v>
      </c>
      <c r="Z94">
        <v>1</v>
      </c>
      <c r="AA94">
        <v>4</v>
      </c>
    </row>
    <row r="95" spans="1:27" x14ac:dyDescent="0.3">
      <c r="A95" s="1" t="s">
        <v>606</v>
      </c>
      <c r="B95">
        <v>94</v>
      </c>
      <c r="C95" s="1" t="s">
        <v>607</v>
      </c>
      <c r="D95" s="1" t="s">
        <v>608</v>
      </c>
      <c r="E95" s="1" t="s">
        <v>39</v>
      </c>
      <c r="F95" s="1" t="s">
        <v>609</v>
      </c>
      <c r="G95" s="1" t="s">
        <v>610</v>
      </c>
      <c r="H95" s="1" t="s">
        <v>48</v>
      </c>
      <c r="I95" s="1" t="s">
        <v>32</v>
      </c>
      <c r="J95" s="1" t="s">
        <v>41</v>
      </c>
      <c r="K95" s="1" t="s">
        <v>414</v>
      </c>
      <c r="L95">
        <v>2</v>
      </c>
      <c r="M95">
        <v>0</v>
      </c>
      <c r="N95">
        <v>0</v>
      </c>
      <c r="O95">
        <v>5</v>
      </c>
      <c r="P95">
        <v>2</v>
      </c>
      <c r="Q95">
        <v>0</v>
      </c>
      <c r="R95">
        <v>0</v>
      </c>
      <c r="S95">
        <v>1</v>
      </c>
      <c r="T95">
        <v>1</v>
      </c>
      <c r="U95" s="1" t="s">
        <v>415</v>
      </c>
      <c r="V95" s="1" t="s">
        <v>111</v>
      </c>
      <c r="W95" s="1">
        <f t="shared" si="1"/>
        <v>80.229999999999905</v>
      </c>
      <c r="X95" s="1" t="s">
        <v>416</v>
      </c>
      <c r="Y95">
        <v>1</v>
      </c>
      <c r="Z95">
        <v>1</v>
      </c>
      <c r="AA95">
        <v>5</v>
      </c>
    </row>
    <row r="96" spans="1:27" x14ac:dyDescent="0.3">
      <c r="A96" s="1" t="s">
        <v>611</v>
      </c>
      <c r="B96">
        <v>95</v>
      </c>
      <c r="C96" s="1" t="s">
        <v>612</v>
      </c>
      <c r="D96" s="1" t="s">
        <v>613</v>
      </c>
      <c r="E96" s="1" t="s">
        <v>41</v>
      </c>
      <c r="F96" s="1" t="s">
        <v>395</v>
      </c>
      <c r="G96" s="1" t="s">
        <v>613</v>
      </c>
      <c r="H96" s="1" t="s">
        <v>55</v>
      </c>
      <c r="I96" s="1" t="s">
        <v>32</v>
      </c>
      <c r="J96" s="1" t="s">
        <v>32</v>
      </c>
      <c r="K96" s="1" t="s">
        <v>614</v>
      </c>
      <c r="L96">
        <v>2</v>
      </c>
      <c r="M96">
        <v>0</v>
      </c>
      <c r="N96">
        <v>0</v>
      </c>
      <c r="O96">
        <v>6</v>
      </c>
      <c r="P96">
        <v>2</v>
      </c>
      <c r="Q96">
        <v>0</v>
      </c>
      <c r="R96">
        <v>0</v>
      </c>
      <c r="S96">
        <v>1</v>
      </c>
      <c r="T96">
        <v>1</v>
      </c>
      <c r="U96" s="1" t="s">
        <v>615</v>
      </c>
      <c r="V96" s="1" t="s">
        <v>120</v>
      </c>
      <c r="W96" s="1">
        <f t="shared" si="1"/>
        <v>249.39</v>
      </c>
      <c r="X96" s="1" t="s">
        <v>616</v>
      </c>
      <c r="Y96">
        <v>1</v>
      </c>
      <c r="Z96">
        <v>1</v>
      </c>
      <c r="AA96">
        <v>6</v>
      </c>
    </row>
    <row r="97" spans="1:27" x14ac:dyDescent="0.3">
      <c r="A97" s="1" t="s">
        <v>617</v>
      </c>
      <c r="B97">
        <v>96</v>
      </c>
      <c r="C97" s="1" t="s">
        <v>618</v>
      </c>
      <c r="D97" s="1" t="s">
        <v>619</v>
      </c>
      <c r="E97" s="1" t="s">
        <v>32</v>
      </c>
      <c r="F97" s="1" t="s">
        <v>403</v>
      </c>
      <c r="G97" s="1" t="s">
        <v>620</v>
      </c>
      <c r="H97" s="1" t="s">
        <v>63</v>
      </c>
      <c r="I97" s="1" t="s">
        <v>32</v>
      </c>
      <c r="J97" s="1" t="s">
        <v>74</v>
      </c>
      <c r="K97" s="1" t="s">
        <v>462</v>
      </c>
      <c r="L97">
        <v>3</v>
      </c>
      <c r="M97">
        <v>2</v>
      </c>
      <c r="N97">
        <v>1</v>
      </c>
      <c r="O97">
        <v>1</v>
      </c>
      <c r="P97">
        <v>6</v>
      </c>
      <c r="Q97">
        <v>0</v>
      </c>
      <c r="R97">
        <v>0</v>
      </c>
      <c r="S97">
        <v>1</v>
      </c>
      <c r="T97">
        <v>1</v>
      </c>
      <c r="U97" s="1" t="s">
        <v>462</v>
      </c>
      <c r="V97" s="1" t="s">
        <v>127</v>
      </c>
      <c r="W97" s="1">
        <f t="shared" si="1"/>
        <v>47.46</v>
      </c>
      <c r="X97" s="1" t="s">
        <v>354</v>
      </c>
      <c r="Y97">
        <v>1</v>
      </c>
      <c r="Z97">
        <v>1</v>
      </c>
      <c r="AA97">
        <v>7</v>
      </c>
    </row>
    <row r="98" spans="1:27" x14ac:dyDescent="0.3">
      <c r="A98" s="1" t="s">
        <v>621</v>
      </c>
      <c r="B98">
        <v>97</v>
      </c>
      <c r="C98" s="1" t="s">
        <v>622</v>
      </c>
      <c r="D98" s="1" t="s">
        <v>623</v>
      </c>
      <c r="E98" s="1" t="s">
        <v>29</v>
      </c>
      <c r="F98" s="1" t="s">
        <v>623</v>
      </c>
      <c r="G98" s="1" t="s">
        <v>55</v>
      </c>
      <c r="H98" s="1" t="s">
        <v>74</v>
      </c>
      <c r="I98" s="1" t="s">
        <v>32</v>
      </c>
      <c r="J98" s="1" t="s">
        <v>29</v>
      </c>
      <c r="K98" s="1" t="s">
        <v>624</v>
      </c>
      <c r="L98">
        <v>3</v>
      </c>
      <c r="M98">
        <v>0</v>
      </c>
      <c r="N98">
        <v>0</v>
      </c>
      <c r="O98">
        <v>2</v>
      </c>
      <c r="P98">
        <v>3</v>
      </c>
      <c r="Q98">
        <v>0</v>
      </c>
      <c r="R98">
        <v>0</v>
      </c>
      <c r="S98">
        <v>1</v>
      </c>
      <c r="T98">
        <v>1</v>
      </c>
      <c r="U98" s="1" t="s">
        <v>625</v>
      </c>
      <c r="V98" s="1" t="s">
        <v>135</v>
      </c>
      <c r="W98" s="1">
        <f t="shared" si="1"/>
        <v>281.02999999999997</v>
      </c>
      <c r="X98" s="1" t="s">
        <v>626</v>
      </c>
      <c r="Y98">
        <v>1</v>
      </c>
      <c r="Z98">
        <v>1</v>
      </c>
      <c r="AA98">
        <v>8</v>
      </c>
    </row>
    <row r="99" spans="1:27" x14ac:dyDescent="0.3">
      <c r="A99" s="1" t="s">
        <v>627</v>
      </c>
      <c r="B99">
        <v>98</v>
      </c>
      <c r="C99" s="1" t="s">
        <v>628</v>
      </c>
      <c r="D99" s="1" t="s">
        <v>629</v>
      </c>
      <c r="E99" s="1" t="s">
        <v>39</v>
      </c>
      <c r="F99" s="1" t="s">
        <v>629</v>
      </c>
      <c r="G99" s="1" t="s">
        <v>630</v>
      </c>
      <c r="H99" s="1" t="s">
        <v>29</v>
      </c>
      <c r="I99" s="1" t="s">
        <v>32</v>
      </c>
      <c r="J99" s="1" t="s">
        <v>75</v>
      </c>
      <c r="K99" s="1" t="s">
        <v>631</v>
      </c>
      <c r="L99">
        <v>3</v>
      </c>
      <c r="M99">
        <v>0</v>
      </c>
      <c r="N99">
        <v>0</v>
      </c>
      <c r="O99">
        <v>3</v>
      </c>
      <c r="P99">
        <v>3</v>
      </c>
      <c r="Q99">
        <v>0</v>
      </c>
      <c r="R99">
        <v>0</v>
      </c>
      <c r="S99">
        <v>1</v>
      </c>
      <c r="T99">
        <v>1</v>
      </c>
      <c r="U99" s="1" t="s">
        <v>632</v>
      </c>
      <c r="V99" s="1" t="s">
        <v>144</v>
      </c>
      <c r="W99" s="1">
        <f t="shared" si="1"/>
        <v>202.26999999999899</v>
      </c>
      <c r="X99" s="1" t="s">
        <v>510</v>
      </c>
      <c r="Y99">
        <v>1</v>
      </c>
      <c r="Z99">
        <v>1</v>
      </c>
      <c r="AA99">
        <v>9</v>
      </c>
    </row>
    <row r="100" spans="1:27" x14ac:dyDescent="0.3">
      <c r="A100" s="1" t="s">
        <v>633</v>
      </c>
      <c r="B100">
        <v>99</v>
      </c>
      <c r="C100" s="1" t="s">
        <v>634</v>
      </c>
      <c r="D100" s="1" t="s">
        <v>635</v>
      </c>
      <c r="E100" s="1" t="s">
        <v>41</v>
      </c>
      <c r="F100" s="1" t="s">
        <v>533</v>
      </c>
      <c r="G100" s="1" t="s">
        <v>636</v>
      </c>
      <c r="H100" s="1" t="s">
        <v>32</v>
      </c>
      <c r="I100" s="1" t="s">
        <v>32</v>
      </c>
      <c r="J100" s="1" t="s">
        <v>41</v>
      </c>
      <c r="K100" s="1" t="s">
        <v>637</v>
      </c>
      <c r="L100">
        <v>3</v>
      </c>
      <c r="M100">
        <v>0</v>
      </c>
      <c r="N100">
        <v>0</v>
      </c>
      <c r="O100">
        <v>4</v>
      </c>
      <c r="P100">
        <v>3</v>
      </c>
      <c r="Q100">
        <v>0</v>
      </c>
      <c r="R100">
        <v>0</v>
      </c>
      <c r="S100">
        <v>1</v>
      </c>
      <c r="T100">
        <v>1</v>
      </c>
      <c r="U100" s="1" t="s">
        <v>637</v>
      </c>
      <c r="V100" s="1" t="s">
        <v>152</v>
      </c>
      <c r="W100" s="1">
        <f t="shared" si="1"/>
        <v>63.28</v>
      </c>
      <c r="X100" s="1">
        <v>419</v>
      </c>
      <c r="Y100">
        <v>1</v>
      </c>
      <c r="Z100">
        <v>1</v>
      </c>
      <c r="AA100">
        <v>10</v>
      </c>
    </row>
    <row r="101" spans="1:27" x14ac:dyDescent="0.3">
      <c r="A101" s="1" t="s">
        <v>638</v>
      </c>
      <c r="B101">
        <v>100</v>
      </c>
      <c r="C101" s="1" t="s">
        <v>639</v>
      </c>
      <c r="D101" s="1" t="s">
        <v>640</v>
      </c>
      <c r="E101" s="1" t="s">
        <v>32</v>
      </c>
      <c r="F101" s="1" t="s">
        <v>540</v>
      </c>
      <c r="G101" s="1" t="s">
        <v>641</v>
      </c>
      <c r="H101" s="1" t="s">
        <v>41</v>
      </c>
      <c r="I101" s="1" t="s">
        <v>32</v>
      </c>
      <c r="J101" s="1" t="s">
        <v>32</v>
      </c>
      <c r="K101" s="1" t="s">
        <v>642</v>
      </c>
      <c r="L101">
        <v>1</v>
      </c>
      <c r="M101">
        <v>1</v>
      </c>
      <c r="N101">
        <v>0</v>
      </c>
      <c r="O101">
        <v>5</v>
      </c>
      <c r="P101">
        <v>2</v>
      </c>
      <c r="Q101">
        <v>0</v>
      </c>
      <c r="R101">
        <v>0</v>
      </c>
      <c r="S101">
        <v>1</v>
      </c>
      <c r="T101">
        <v>1</v>
      </c>
      <c r="U101" s="1" t="s">
        <v>643</v>
      </c>
      <c r="V101" s="1" t="s">
        <v>161</v>
      </c>
      <c r="W101" s="1">
        <f t="shared" si="1"/>
        <v>66.67</v>
      </c>
      <c r="X101" s="1" t="s">
        <v>644</v>
      </c>
      <c r="Y101">
        <v>1</v>
      </c>
      <c r="Z101">
        <v>1</v>
      </c>
      <c r="AA101">
        <v>11</v>
      </c>
    </row>
    <row r="102" spans="1:27" x14ac:dyDescent="0.3">
      <c r="A102" s="1" t="s">
        <v>645</v>
      </c>
      <c r="B102">
        <v>101</v>
      </c>
      <c r="C102" s="1" t="s">
        <v>646</v>
      </c>
      <c r="D102" s="1" t="s">
        <v>647</v>
      </c>
      <c r="E102" s="1" t="s">
        <v>29</v>
      </c>
      <c r="F102" s="1" t="s">
        <v>647</v>
      </c>
      <c r="G102" s="1" t="s">
        <v>647</v>
      </c>
      <c r="H102" s="1" t="s">
        <v>48</v>
      </c>
      <c r="I102" s="1" t="s">
        <v>33</v>
      </c>
      <c r="J102" s="1" t="s">
        <v>33</v>
      </c>
      <c r="K102" s="1" t="s">
        <v>34</v>
      </c>
      <c r="L102">
        <v>1</v>
      </c>
      <c r="M102">
        <v>0</v>
      </c>
      <c r="N102">
        <v>0</v>
      </c>
      <c r="O102">
        <v>6</v>
      </c>
      <c r="P102">
        <v>1</v>
      </c>
      <c r="Q102">
        <v>1</v>
      </c>
      <c r="R102">
        <v>0</v>
      </c>
      <c r="S102">
        <v>0</v>
      </c>
      <c r="T102">
        <v>0</v>
      </c>
      <c r="U102" s="1" t="s">
        <v>648</v>
      </c>
      <c r="V102" s="1">
        <v>0</v>
      </c>
      <c r="W102" s="1">
        <f t="shared" si="1"/>
        <v>0</v>
      </c>
      <c r="X102" s="1" t="s">
        <v>648</v>
      </c>
      <c r="Y102">
        <v>1</v>
      </c>
      <c r="Z102">
        <v>0</v>
      </c>
      <c r="AA102">
        <v>12</v>
      </c>
    </row>
    <row r="103" spans="1:27" x14ac:dyDescent="0.3">
      <c r="A103" s="1" t="s">
        <v>649</v>
      </c>
      <c r="B103">
        <v>102</v>
      </c>
      <c r="C103" s="1" t="s">
        <v>650</v>
      </c>
      <c r="D103" s="1" t="s">
        <v>651</v>
      </c>
      <c r="E103" s="1" t="s">
        <v>39</v>
      </c>
      <c r="F103" s="1" t="s">
        <v>651</v>
      </c>
      <c r="G103" s="1" t="s">
        <v>652</v>
      </c>
      <c r="H103" s="1" t="s">
        <v>55</v>
      </c>
      <c r="I103" s="1" t="s">
        <v>33</v>
      </c>
      <c r="J103" s="1" t="s">
        <v>33</v>
      </c>
      <c r="K103" s="1" t="s">
        <v>34</v>
      </c>
      <c r="L103">
        <v>1</v>
      </c>
      <c r="M103">
        <v>2</v>
      </c>
      <c r="N103">
        <v>0</v>
      </c>
      <c r="O103">
        <v>1</v>
      </c>
      <c r="P103">
        <v>3</v>
      </c>
      <c r="Q103">
        <v>1</v>
      </c>
      <c r="R103">
        <v>0</v>
      </c>
      <c r="S103">
        <v>0</v>
      </c>
      <c r="T103">
        <v>0</v>
      </c>
      <c r="U103" s="1" t="s">
        <v>653</v>
      </c>
      <c r="V103" s="1">
        <v>0</v>
      </c>
      <c r="W103" s="1">
        <f t="shared" si="1"/>
        <v>0</v>
      </c>
      <c r="X103" s="1" t="s">
        <v>653</v>
      </c>
      <c r="Y103">
        <v>1</v>
      </c>
      <c r="Z103">
        <v>0</v>
      </c>
      <c r="AA103">
        <v>13</v>
      </c>
    </row>
    <row r="104" spans="1:27" x14ac:dyDescent="0.3">
      <c r="A104" s="1" t="s">
        <v>654</v>
      </c>
      <c r="B104">
        <v>103</v>
      </c>
      <c r="C104" s="1" t="s">
        <v>655</v>
      </c>
      <c r="D104" s="1" t="s">
        <v>656</v>
      </c>
      <c r="E104" s="1" t="s">
        <v>41</v>
      </c>
      <c r="F104" s="1" t="s">
        <v>657</v>
      </c>
      <c r="G104" s="1" t="s">
        <v>658</v>
      </c>
      <c r="H104" s="1" t="s">
        <v>63</v>
      </c>
      <c r="I104" s="1" t="s">
        <v>33</v>
      </c>
      <c r="J104" s="1" t="s">
        <v>33</v>
      </c>
      <c r="K104" s="1" t="s">
        <v>34</v>
      </c>
      <c r="L104">
        <v>2</v>
      </c>
      <c r="M104">
        <v>0</v>
      </c>
      <c r="N104">
        <v>0</v>
      </c>
      <c r="O104">
        <v>2</v>
      </c>
      <c r="P104">
        <v>2</v>
      </c>
      <c r="Q104">
        <v>1</v>
      </c>
      <c r="R104">
        <v>0</v>
      </c>
      <c r="S104">
        <v>0</v>
      </c>
      <c r="T104">
        <v>0</v>
      </c>
      <c r="U104" s="1" t="s">
        <v>659</v>
      </c>
      <c r="V104" s="1">
        <v>0</v>
      </c>
      <c r="W104" s="1">
        <f t="shared" si="1"/>
        <v>0</v>
      </c>
      <c r="X104" s="1" t="s">
        <v>659</v>
      </c>
      <c r="Y104">
        <v>1</v>
      </c>
      <c r="Z104">
        <v>0</v>
      </c>
      <c r="AA104">
        <v>14</v>
      </c>
    </row>
    <row r="105" spans="1:27" x14ac:dyDescent="0.3">
      <c r="A105" s="1" t="s">
        <v>660</v>
      </c>
      <c r="B105">
        <v>104</v>
      </c>
      <c r="C105" s="1" t="s">
        <v>661</v>
      </c>
      <c r="D105" s="1" t="s">
        <v>662</v>
      </c>
      <c r="E105" s="1" t="s">
        <v>32</v>
      </c>
      <c r="F105" s="1" t="s">
        <v>662</v>
      </c>
      <c r="G105" s="1" t="s">
        <v>56</v>
      </c>
      <c r="H105" s="1" t="s">
        <v>74</v>
      </c>
      <c r="I105" s="1" t="s">
        <v>56</v>
      </c>
      <c r="J105" s="1" t="s">
        <v>33</v>
      </c>
      <c r="K105" s="1" t="s">
        <v>34</v>
      </c>
      <c r="L105">
        <v>2</v>
      </c>
      <c r="M105">
        <v>1</v>
      </c>
      <c r="N105">
        <v>0</v>
      </c>
      <c r="O105">
        <v>3</v>
      </c>
      <c r="P105">
        <v>3</v>
      </c>
      <c r="Q105">
        <v>0</v>
      </c>
      <c r="R105">
        <v>1</v>
      </c>
      <c r="S105">
        <v>0</v>
      </c>
      <c r="T105">
        <v>0</v>
      </c>
      <c r="U105" s="1" t="s">
        <v>663</v>
      </c>
      <c r="V105" s="1">
        <v>0</v>
      </c>
      <c r="W105" s="1">
        <f t="shared" si="1"/>
        <v>0</v>
      </c>
      <c r="X105" s="1" t="s">
        <v>663</v>
      </c>
      <c r="Y105">
        <v>1</v>
      </c>
      <c r="Z105">
        <v>0</v>
      </c>
      <c r="AA105">
        <v>15</v>
      </c>
    </row>
    <row r="106" spans="1:27" x14ac:dyDescent="0.3">
      <c r="A106" s="1" t="s">
        <v>664</v>
      </c>
      <c r="B106">
        <v>105</v>
      </c>
      <c r="C106" s="1" t="s">
        <v>665</v>
      </c>
      <c r="D106" s="1" t="s">
        <v>566</v>
      </c>
      <c r="E106" s="1" t="s">
        <v>29</v>
      </c>
      <c r="F106" s="1" t="s">
        <v>666</v>
      </c>
      <c r="G106" s="1" t="s">
        <v>667</v>
      </c>
      <c r="H106" s="1" t="s">
        <v>29</v>
      </c>
      <c r="I106" s="1" t="s">
        <v>64</v>
      </c>
      <c r="J106" s="1" t="s">
        <v>29</v>
      </c>
      <c r="K106" s="1" t="s">
        <v>668</v>
      </c>
      <c r="L106">
        <v>2</v>
      </c>
      <c r="M106">
        <v>0</v>
      </c>
      <c r="N106">
        <v>0</v>
      </c>
      <c r="O106">
        <v>4</v>
      </c>
      <c r="P106">
        <v>2</v>
      </c>
      <c r="Q106">
        <v>0</v>
      </c>
      <c r="R106">
        <v>0</v>
      </c>
      <c r="S106">
        <v>0</v>
      </c>
      <c r="T106">
        <v>0</v>
      </c>
      <c r="U106" s="1" t="s">
        <v>669</v>
      </c>
      <c r="V106" s="1" t="s">
        <v>104</v>
      </c>
      <c r="W106" s="1">
        <f t="shared" si="1"/>
        <v>76.84</v>
      </c>
      <c r="X106" s="1" t="s">
        <v>670</v>
      </c>
      <c r="Y106">
        <v>1</v>
      </c>
      <c r="Z106">
        <v>0</v>
      </c>
      <c r="AA106">
        <v>16</v>
      </c>
    </row>
    <row r="107" spans="1:27" x14ac:dyDescent="0.3">
      <c r="A107" s="1" t="s">
        <v>671</v>
      </c>
      <c r="B107">
        <v>106</v>
      </c>
      <c r="C107" s="1" t="s">
        <v>672</v>
      </c>
      <c r="D107" s="1" t="s">
        <v>673</v>
      </c>
      <c r="E107" s="1" t="s">
        <v>39</v>
      </c>
      <c r="F107" s="1" t="s">
        <v>674</v>
      </c>
      <c r="G107" s="1" t="s">
        <v>64</v>
      </c>
      <c r="H107" s="1" t="s">
        <v>32</v>
      </c>
      <c r="I107" s="1" t="s">
        <v>64</v>
      </c>
      <c r="J107" s="1" t="s">
        <v>75</v>
      </c>
      <c r="K107" s="1" t="s">
        <v>675</v>
      </c>
      <c r="L107">
        <v>3</v>
      </c>
      <c r="M107">
        <v>0</v>
      </c>
      <c r="N107">
        <v>0</v>
      </c>
      <c r="O107">
        <v>5</v>
      </c>
      <c r="P107">
        <v>3</v>
      </c>
      <c r="Q107">
        <v>0</v>
      </c>
      <c r="R107">
        <v>0</v>
      </c>
      <c r="S107">
        <v>0</v>
      </c>
      <c r="T107">
        <v>0</v>
      </c>
      <c r="U107" s="1" t="s">
        <v>676</v>
      </c>
      <c r="V107" s="1" t="s">
        <v>304</v>
      </c>
      <c r="W107" s="1">
        <f t="shared" si="1"/>
        <v>64.41</v>
      </c>
      <c r="X107" s="1" t="s">
        <v>677</v>
      </c>
      <c r="Y107">
        <v>1</v>
      </c>
      <c r="Z107">
        <v>0</v>
      </c>
      <c r="AA107">
        <v>17</v>
      </c>
    </row>
    <row r="108" spans="1:27" x14ac:dyDescent="0.3">
      <c r="A108" s="1" t="s">
        <v>678</v>
      </c>
      <c r="B108">
        <v>107</v>
      </c>
      <c r="C108" s="1" t="s">
        <v>679</v>
      </c>
      <c r="D108" s="1" t="s">
        <v>680</v>
      </c>
      <c r="E108" s="1" t="s">
        <v>41</v>
      </c>
      <c r="F108" s="1" t="s">
        <v>681</v>
      </c>
      <c r="G108" s="1" t="s">
        <v>682</v>
      </c>
      <c r="H108" s="1" t="s">
        <v>41</v>
      </c>
      <c r="I108" s="1" t="s">
        <v>32</v>
      </c>
      <c r="J108" s="1" t="s">
        <v>75</v>
      </c>
      <c r="K108" s="1" t="s">
        <v>683</v>
      </c>
      <c r="L108">
        <v>3</v>
      </c>
      <c r="M108">
        <v>0</v>
      </c>
      <c r="N108">
        <v>0</v>
      </c>
      <c r="O108">
        <v>6</v>
      </c>
      <c r="P108">
        <v>3</v>
      </c>
      <c r="Q108">
        <v>0</v>
      </c>
      <c r="R108">
        <v>0</v>
      </c>
      <c r="S108">
        <v>1</v>
      </c>
      <c r="T108">
        <v>1</v>
      </c>
      <c r="U108" s="1" t="s">
        <v>684</v>
      </c>
      <c r="V108" s="1" t="s">
        <v>169</v>
      </c>
      <c r="W108" s="1">
        <f t="shared" si="1"/>
        <v>270.07</v>
      </c>
      <c r="X108" s="1" t="s">
        <v>685</v>
      </c>
      <c r="Y108">
        <v>1</v>
      </c>
      <c r="Z108">
        <v>1</v>
      </c>
      <c r="AA108">
        <v>18</v>
      </c>
    </row>
    <row r="109" spans="1:27" x14ac:dyDescent="0.3">
      <c r="A109" s="1" t="s">
        <v>686</v>
      </c>
      <c r="B109">
        <v>108</v>
      </c>
      <c r="C109" s="1" t="s">
        <v>687</v>
      </c>
      <c r="D109" s="1" t="s">
        <v>688</v>
      </c>
      <c r="E109" s="1" t="s">
        <v>32</v>
      </c>
      <c r="F109" s="1" t="s">
        <v>688</v>
      </c>
      <c r="G109" s="1" t="s">
        <v>689</v>
      </c>
      <c r="H109" s="1" t="s">
        <v>48</v>
      </c>
      <c r="I109" s="1" t="s">
        <v>32</v>
      </c>
      <c r="J109" s="1" t="s">
        <v>41</v>
      </c>
      <c r="K109" s="1" t="s">
        <v>690</v>
      </c>
      <c r="L109">
        <v>3</v>
      </c>
      <c r="M109">
        <v>2</v>
      </c>
      <c r="N109">
        <v>1</v>
      </c>
      <c r="O109">
        <v>1</v>
      </c>
      <c r="P109">
        <v>6</v>
      </c>
      <c r="Q109">
        <v>0</v>
      </c>
      <c r="R109">
        <v>0</v>
      </c>
      <c r="S109">
        <v>1</v>
      </c>
      <c r="T109">
        <v>1</v>
      </c>
      <c r="U109" s="1" t="s">
        <v>690</v>
      </c>
      <c r="V109" s="1" t="s">
        <v>127</v>
      </c>
      <c r="W109" s="1">
        <f t="shared" si="1"/>
        <v>47.46</v>
      </c>
      <c r="X109" s="1" t="s">
        <v>691</v>
      </c>
      <c r="Y109">
        <v>1</v>
      </c>
      <c r="Z109">
        <v>1</v>
      </c>
      <c r="AA109">
        <v>19</v>
      </c>
    </row>
    <row r="110" spans="1:27" x14ac:dyDescent="0.3">
      <c r="A110" s="1" t="s">
        <v>692</v>
      </c>
      <c r="B110">
        <v>109</v>
      </c>
      <c r="C110" s="1" t="s">
        <v>693</v>
      </c>
      <c r="D110" s="1" t="s">
        <v>694</v>
      </c>
      <c r="E110" s="1" t="s">
        <v>29</v>
      </c>
      <c r="F110" s="1" t="s">
        <v>585</v>
      </c>
      <c r="G110" s="1" t="s">
        <v>695</v>
      </c>
      <c r="H110" s="1" t="s">
        <v>55</v>
      </c>
      <c r="I110" s="1" t="s">
        <v>32</v>
      </c>
      <c r="J110" s="1" t="s">
        <v>32</v>
      </c>
      <c r="K110" s="1" t="s">
        <v>696</v>
      </c>
      <c r="L110">
        <v>3</v>
      </c>
      <c r="M110">
        <v>0</v>
      </c>
      <c r="N110">
        <v>0</v>
      </c>
      <c r="O110">
        <v>2</v>
      </c>
      <c r="P110">
        <v>3</v>
      </c>
      <c r="Q110">
        <v>0</v>
      </c>
      <c r="R110">
        <v>0</v>
      </c>
      <c r="S110">
        <v>1</v>
      </c>
      <c r="T110">
        <v>1</v>
      </c>
      <c r="U110" s="1" t="s">
        <v>697</v>
      </c>
      <c r="V110" s="1" t="s">
        <v>288</v>
      </c>
      <c r="W110" s="1">
        <f t="shared" si="1"/>
        <v>301.70999999999998</v>
      </c>
      <c r="X110" s="1" t="s">
        <v>698</v>
      </c>
      <c r="Y110">
        <v>1</v>
      </c>
      <c r="Z110">
        <v>1</v>
      </c>
      <c r="AA110">
        <v>20</v>
      </c>
    </row>
    <row r="111" spans="1:27" x14ac:dyDescent="0.3">
      <c r="A111" s="1" t="s">
        <v>699</v>
      </c>
      <c r="B111">
        <v>110</v>
      </c>
      <c r="C111" s="1" t="s">
        <v>700</v>
      </c>
      <c r="D111" s="1" t="s">
        <v>701</v>
      </c>
      <c r="E111" s="1" t="s">
        <v>39</v>
      </c>
      <c r="F111" s="1" t="s">
        <v>702</v>
      </c>
      <c r="G111" s="1" t="s">
        <v>703</v>
      </c>
      <c r="H111" s="1" t="s">
        <v>63</v>
      </c>
      <c r="I111" s="1" t="s">
        <v>32</v>
      </c>
      <c r="J111" s="1" t="s">
        <v>74</v>
      </c>
      <c r="K111" s="1" t="s">
        <v>704</v>
      </c>
      <c r="L111">
        <v>1</v>
      </c>
      <c r="M111">
        <v>0</v>
      </c>
      <c r="N111">
        <v>0</v>
      </c>
      <c r="O111">
        <v>3</v>
      </c>
      <c r="P111">
        <v>1</v>
      </c>
      <c r="Q111">
        <v>0</v>
      </c>
      <c r="R111">
        <v>0</v>
      </c>
      <c r="S111">
        <v>1</v>
      </c>
      <c r="T111">
        <v>1</v>
      </c>
      <c r="U111" s="1" t="s">
        <v>705</v>
      </c>
      <c r="V111" s="1" t="s">
        <v>706</v>
      </c>
      <c r="W111" s="1">
        <f t="shared" si="1"/>
        <v>195.94</v>
      </c>
      <c r="X111" s="1" t="s">
        <v>707</v>
      </c>
      <c r="Y111">
        <v>1</v>
      </c>
      <c r="Z111">
        <v>1</v>
      </c>
      <c r="AA111">
        <v>21</v>
      </c>
    </row>
    <row r="112" spans="1:27" x14ac:dyDescent="0.3">
      <c r="A112" s="1" t="s">
        <v>708</v>
      </c>
      <c r="B112">
        <v>111</v>
      </c>
      <c r="C112" s="1" t="s">
        <v>709</v>
      </c>
      <c r="D112" s="1" t="s">
        <v>710</v>
      </c>
      <c r="E112" s="1" t="s">
        <v>41</v>
      </c>
      <c r="F112" s="1" t="s">
        <v>711</v>
      </c>
      <c r="G112" s="1" t="s">
        <v>712</v>
      </c>
      <c r="H112" s="1" t="s">
        <v>74</v>
      </c>
      <c r="I112" s="1" t="s">
        <v>32</v>
      </c>
      <c r="J112" s="1" t="s">
        <v>29</v>
      </c>
      <c r="K112" s="1" t="s">
        <v>713</v>
      </c>
      <c r="L112">
        <v>1</v>
      </c>
      <c r="M112">
        <v>0</v>
      </c>
      <c r="N112">
        <v>0</v>
      </c>
      <c r="O112">
        <v>4</v>
      </c>
      <c r="P112">
        <v>1</v>
      </c>
      <c r="Q112">
        <v>0</v>
      </c>
      <c r="R112">
        <v>0</v>
      </c>
      <c r="S112">
        <v>1</v>
      </c>
      <c r="T112">
        <v>1</v>
      </c>
      <c r="U112" s="1" t="s">
        <v>713</v>
      </c>
      <c r="V112" s="1" t="s">
        <v>232</v>
      </c>
      <c r="W112" s="1">
        <f t="shared" si="1"/>
        <v>56.95</v>
      </c>
      <c r="X112" s="1" t="s">
        <v>714</v>
      </c>
      <c r="Y112">
        <v>1</v>
      </c>
      <c r="Z112">
        <v>1</v>
      </c>
      <c r="AA112">
        <v>22</v>
      </c>
    </row>
    <row r="113" spans="1:27" x14ac:dyDescent="0.3">
      <c r="A113" s="1" t="s">
        <v>715</v>
      </c>
      <c r="B113">
        <v>112</v>
      </c>
      <c r="C113" s="1" t="s">
        <v>716</v>
      </c>
      <c r="D113" s="1" t="s">
        <v>602</v>
      </c>
      <c r="E113" s="1" t="s">
        <v>32</v>
      </c>
      <c r="F113" s="1" t="s">
        <v>717</v>
      </c>
      <c r="G113" s="1" t="s">
        <v>718</v>
      </c>
      <c r="H113" s="1" t="s">
        <v>29</v>
      </c>
      <c r="I113" s="1" t="s">
        <v>32</v>
      </c>
      <c r="J113" s="1" t="s">
        <v>75</v>
      </c>
      <c r="K113" s="1" t="s">
        <v>719</v>
      </c>
      <c r="L113">
        <v>1</v>
      </c>
      <c r="M113">
        <v>1</v>
      </c>
      <c r="N113">
        <v>0</v>
      </c>
      <c r="O113">
        <v>5</v>
      </c>
      <c r="P113">
        <v>2</v>
      </c>
      <c r="Q113">
        <v>0</v>
      </c>
      <c r="R113">
        <v>0</v>
      </c>
      <c r="S113">
        <v>1</v>
      </c>
      <c r="T113">
        <v>1</v>
      </c>
      <c r="U113" s="1" t="s">
        <v>720</v>
      </c>
      <c r="V113" s="1" t="s">
        <v>161</v>
      </c>
      <c r="W113" s="1">
        <f t="shared" si="1"/>
        <v>66.67</v>
      </c>
      <c r="X113" s="1" t="s">
        <v>721</v>
      </c>
      <c r="Y113">
        <v>1</v>
      </c>
      <c r="Z113">
        <v>1</v>
      </c>
      <c r="AA113">
        <v>23</v>
      </c>
    </row>
    <row r="114" spans="1:27" x14ac:dyDescent="0.3">
      <c r="A114" s="1" t="s">
        <v>722</v>
      </c>
      <c r="B114">
        <v>113</v>
      </c>
      <c r="C114" s="1" t="s">
        <v>723</v>
      </c>
      <c r="D114" s="1" t="s">
        <v>724</v>
      </c>
      <c r="E114" s="1" t="s">
        <v>29</v>
      </c>
      <c r="F114" s="1" t="s">
        <v>724</v>
      </c>
      <c r="G114" s="1" t="s">
        <v>29</v>
      </c>
      <c r="H114" s="1" t="s">
        <v>32</v>
      </c>
      <c r="I114" s="1" t="s">
        <v>32</v>
      </c>
      <c r="J114" s="1" t="s">
        <v>41</v>
      </c>
      <c r="K114" s="1" t="s">
        <v>725</v>
      </c>
      <c r="L114">
        <v>2</v>
      </c>
      <c r="M114">
        <v>0</v>
      </c>
      <c r="N114">
        <v>0</v>
      </c>
      <c r="O114">
        <v>6</v>
      </c>
      <c r="P114">
        <v>2</v>
      </c>
      <c r="Q114">
        <v>0</v>
      </c>
      <c r="R114">
        <v>0</v>
      </c>
      <c r="S114">
        <v>1</v>
      </c>
      <c r="T114">
        <v>1</v>
      </c>
      <c r="U114" s="1" t="s">
        <v>726</v>
      </c>
      <c r="V114" s="1" t="s">
        <v>169</v>
      </c>
      <c r="W114" s="1">
        <f t="shared" si="1"/>
        <v>270.07</v>
      </c>
      <c r="X114" s="1" t="s">
        <v>727</v>
      </c>
      <c r="Y114">
        <v>1</v>
      </c>
      <c r="Z114">
        <v>1</v>
      </c>
      <c r="AA114">
        <v>24</v>
      </c>
    </row>
    <row r="115" spans="1:27" x14ac:dyDescent="0.3">
      <c r="A115" s="1" t="s">
        <v>728</v>
      </c>
      <c r="B115">
        <v>114</v>
      </c>
      <c r="C115" s="1" t="s">
        <v>729</v>
      </c>
      <c r="D115" s="1" t="s">
        <v>610</v>
      </c>
      <c r="E115" s="1" t="s">
        <v>39</v>
      </c>
      <c r="F115" s="1" t="s">
        <v>608</v>
      </c>
      <c r="G115" s="1" t="s">
        <v>730</v>
      </c>
      <c r="H115" s="1" t="s">
        <v>41</v>
      </c>
      <c r="I115" s="1" t="s">
        <v>32</v>
      </c>
      <c r="J115" s="1" t="s">
        <v>32</v>
      </c>
      <c r="K115" s="1" t="s">
        <v>731</v>
      </c>
      <c r="L115">
        <v>2</v>
      </c>
      <c r="M115">
        <v>2</v>
      </c>
      <c r="N115">
        <v>0</v>
      </c>
      <c r="O115">
        <v>1</v>
      </c>
      <c r="P115">
        <v>4</v>
      </c>
      <c r="Q115">
        <v>0</v>
      </c>
      <c r="R115">
        <v>0</v>
      </c>
      <c r="S115">
        <v>1</v>
      </c>
      <c r="T115">
        <v>1</v>
      </c>
      <c r="U115" s="1" t="s">
        <v>731</v>
      </c>
      <c r="V115" s="1" t="s">
        <v>177</v>
      </c>
      <c r="W115" s="1">
        <f t="shared" si="1"/>
        <v>61.02</v>
      </c>
      <c r="X115" s="1" t="s">
        <v>732</v>
      </c>
      <c r="Y115">
        <v>1</v>
      </c>
      <c r="Z115">
        <v>1</v>
      </c>
      <c r="AA115">
        <v>25</v>
      </c>
    </row>
    <row r="116" spans="1:27" x14ac:dyDescent="0.3">
      <c r="A116" s="1" t="s">
        <v>733</v>
      </c>
      <c r="B116">
        <v>115</v>
      </c>
      <c r="C116" s="1" t="s">
        <v>734</v>
      </c>
      <c r="D116" s="1" t="s">
        <v>735</v>
      </c>
      <c r="E116" s="1" t="s">
        <v>41</v>
      </c>
      <c r="F116" s="1" t="s">
        <v>735</v>
      </c>
      <c r="G116" s="1" t="s">
        <v>735</v>
      </c>
      <c r="H116" s="1" t="s">
        <v>48</v>
      </c>
      <c r="I116" s="1" t="s">
        <v>32</v>
      </c>
      <c r="J116" s="1" t="s">
        <v>74</v>
      </c>
      <c r="K116" s="1" t="s">
        <v>736</v>
      </c>
      <c r="L116">
        <v>2</v>
      </c>
      <c r="M116">
        <v>0</v>
      </c>
      <c r="N116">
        <v>0</v>
      </c>
      <c r="O116">
        <v>2</v>
      </c>
      <c r="P116">
        <v>2</v>
      </c>
      <c r="Q116">
        <v>0</v>
      </c>
      <c r="R116">
        <v>0</v>
      </c>
      <c r="S116">
        <v>1</v>
      </c>
      <c r="T116">
        <v>1</v>
      </c>
      <c r="U116" s="1" t="s">
        <v>737</v>
      </c>
      <c r="V116" s="1" t="s">
        <v>87</v>
      </c>
      <c r="W116" s="1">
        <f t="shared" si="1"/>
        <v>274.58999999999997</v>
      </c>
      <c r="X116" s="1" t="s">
        <v>738</v>
      </c>
      <c r="Y116">
        <v>1</v>
      </c>
      <c r="Z116">
        <v>1</v>
      </c>
      <c r="AA116">
        <v>26</v>
      </c>
    </row>
    <row r="117" spans="1:27" x14ac:dyDescent="0.3">
      <c r="A117" s="1" t="s">
        <v>739</v>
      </c>
      <c r="B117">
        <v>116</v>
      </c>
      <c r="C117" s="1" t="s">
        <v>740</v>
      </c>
      <c r="D117" s="1" t="s">
        <v>741</v>
      </c>
      <c r="E117" s="1" t="s">
        <v>32</v>
      </c>
      <c r="F117" s="1" t="s">
        <v>741</v>
      </c>
      <c r="G117" s="1" t="s">
        <v>742</v>
      </c>
      <c r="H117" s="1" t="s">
        <v>55</v>
      </c>
      <c r="I117" s="1" t="s">
        <v>32</v>
      </c>
      <c r="J117" s="1" t="s">
        <v>29</v>
      </c>
      <c r="K117" s="1" t="s">
        <v>743</v>
      </c>
      <c r="L117">
        <v>3</v>
      </c>
      <c r="M117">
        <v>1</v>
      </c>
      <c r="N117">
        <v>0</v>
      </c>
      <c r="O117">
        <v>3</v>
      </c>
      <c r="P117">
        <v>4</v>
      </c>
      <c r="Q117">
        <v>0</v>
      </c>
      <c r="R117">
        <v>0</v>
      </c>
      <c r="S117">
        <v>1</v>
      </c>
      <c r="T117">
        <v>1</v>
      </c>
      <c r="U117" s="1" t="s">
        <v>744</v>
      </c>
      <c r="V117" s="1" t="s">
        <v>257</v>
      </c>
      <c r="W117" s="1">
        <f t="shared" si="1"/>
        <v>222.95</v>
      </c>
      <c r="X117" s="1" t="s">
        <v>663</v>
      </c>
      <c r="Y117">
        <v>1</v>
      </c>
      <c r="Z117">
        <v>1</v>
      </c>
      <c r="AA117">
        <v>27</v>
      </c>
    </row>
    <row r="118" spans="1:27" x14ac:dyDescent="0.3">
      <c r="A118" s="1" t="s">
        <v>745</v>
      </c>
      <c r="B118">
        <v>117</v>
      </c>
      <c r="C118" s="1" t="s">
        <v>746</v>
      </c>
      <c r="D118" s="1" t="s">
        <v>747</v>
      </c>
      <c r="E118" s="1" t="s">
        <v>29</v>
      </c>
      <c r="F118" s="1" t="s">
        <v>55</v>
      </c>
      <c r="G118" s="1" t="s">
        <v>747</v>
      </c>
      <c r="H118" s="1" t="s">
        <v>63</v>
      </c>
      <c r="I118" s="1" t="s">
        <v>32</v>
      </c>
      <c r="J118" s="1" t="s">
        <v>75</v>
      </c>
      <c r="K118" s="1" t="s">
        <v>748</v>
      </c>
      <c r="L118">
        <v>3</v>
      </c>
      <c r="M118">
        <v>0</v>
      </c>
      <c r="N118">
        <v>0</v>
      </c>
      <c r="O118">
        <v>4</v>
      </c>
      <c r="P118">
        <v>3</v>
      </c>
      <c r="Q118">
        <v>0</v>
      </c>
      <c r="R118">
        <v>0</v>
      </c>
      <c r="S118">
        <v>1</v>
      </c>
      <c r="T118">
        <v>1</v>
      </c>
      <c r="U118" s="1" t="s">
        <v>748</v>
      </c>
      <c r="V118" s="1" t="s">
        <v>104</v>
      </c>
      <c r="W118" s="1">
        <f t="shared" si="1"/>
        <v>76.84</v>
      </c>
      <c r="X118" s="1" t="s">
        <v>749</v>
      </c>
      <c r="Y118">
        <v>1</v>
      </c>
      <c r="Z118">
        <v>1</v>
      </c>
      <c r="AA118">
        <v>28</v>
      </c>
    </row>
    <row r="119" spans="1:27" x14ac:dyDescent="0.3">
      <c r="A119" s="1" t="s">
        <v>750</v>
      </c>
      <c r="B119">
        <v>118</v>
      </c>
      <c r="C119" s="1" t="s">
        <v>751</v>
      </c>
      <c r="D119" s="1" t="s">
        <v>752</v>
      </c>
      <c r="E119" s="1" t="s">
        <v>39</v>
      </c>
      <c r="F119" s="1" t="s">
        <v>753</v>
      </c>
      <c r="G119" s="1" t="s">
        <v>754</v>
      </c>
      <c r="H119" s="1" t="s">
        <v>74</v>
      </c>
      <c r="I119" s="1" t="s">
        <v>32</v>
      </c>
      <c r="J119" s="1" t="s">
        <v>41</v>
      </c>
      <c r="K119" s="1" t="s">
        <v>755</v>
      </c>
      <c r="L119">
        <v>3</v>
      </c>
      <c r="M119">
        <v>0</v>
      </c>
      <c r="N119">
        <v>0</v>
      </c>
      <c r="O119">
        <v>5</v>
      </c>
      <c r="P119">
        <v>3</v>
      </c>
      <c r="Q119">
        <v>0</v>
      </c>
      <c r="R119">
        <v>0</v>
      </c>
      <c r="S119">
        <v>1</v>
      </c>
      <c r="T119">
        <v>1</v>
      </c>
      <c r="U119" s="1" t="s">
        <v>756</v>
      </c>
      <c r="V119" s="1" t="s">
        <v>270</v>
      </c>
      <c r="W119" s="1">
        <f t="shared" si="1"/>
        <v>73.789999999999907</v>
      </c>
      <c r="X119" s="1" t="s">
        <v>757</v>
      </c>
      <c r="Y119">
        <v>1</v>
      </c>
      <c r="Z119">
        <v>1</v>
      </c>
      <c r="AA119">
        <v>29</v>
      </c>
    </row>
    <row r="120" spans="1:27" x14ac:dyDescent="0.3">
      <c r="A120" s="1" t="s">
        <v>758</v>
      </c>
      <c r="B120">
        <v>119</v>
      </c>
      <c r="C120" s="1" t="s">
        <v>759</v>
      </c>
      <c r="D120" s="1" t="s">
        <v>760</v>
      </c>
      <c r="E120" s="1" t="s">
        <v>41</v>
      </c>
      <c r="F120" s="1" t="s">
        <v>636</v>
      </c>
      <c r="G120" s="1" t="s">
        <v>760</v>
      </c>
      <c r="H120" s="1" t="s">
        <v>29</v>
      </c>
      <c r="I120" s="1" t="s">
        <v>32</v>
      </c>
      <c r="J120" s="1" t="s">
        <v>32</v>
      </c>
      <c r="K120" s="1" t="s">
        <v>683</v>
      </c>
      <c r="L120">
        <v>3</v>
      </c>
      <c r="M120">
        <v>0</v>
      </c>
      <c r="N120">
        <v>0</v>
      </c>
      <c r="O120">
        <v>6</v>
      </c>
      <c r="P120">
        <v>3</v>
      </c>
      <c r="Q120">
        <v>0</v>
      </c>
      <c r="R120">
        <v>0</v>
      </c>
      <c r="S120">
        <v>1</v>
      </c>
      <c r="T120">
        <v>1</v>
      </c>
      <c r="U120" s="1" t="s">
        <v>684</v>
      </c>
      <c r="V120" s="1" t="s">
        <v>169</v>
      </c>
      <c r="W120" s="1">
        <f t="shared" si="1"/>
        <v>270.07</v>
      </c>
      <c r="X120" s="1" t="s">
        <v>685</v>
      </c>
      <c r="Y120">
        <v>1</v>
      </c>
      <c r="Z120">
        <v>1</v>
      </c>
      <c r="AA120">
        <v>30</v>
      </c>
    </row>
    <row r="121" spans="1:27" x14ac:dyDescent="0.3">
      <c r="A121" s="1" t="s">
        <v>761</v>
      </c>
      <c r="B121">
        <v>120</v>
      </c>
      <c r="C121" s="1" t="s">
        <v>762</v>
      </c>
      <c r="D121" s="1" t="s">
        <v>763</v>
      </c>
      <c r="E121" s="1" t="s">
        <v>32</v>
      </c>
      <c r="F121" s="1" t="s">
        <v>763</v>
      </c>
      <c r="G121" s="1" t="s">
        <v>763</v>
      </c>
      <c r="H121" s="1" t="s">
        <v>32</v>
      </c>
      <c r="I121" s="1" t="s">
        <v>32</v>
      </c>
      <c r="J121" s="1" t="s">
        <v>74</v>
      </c>
      <c r="K121" s="1" t="s">
        <v>764</v>
      </c>
      <c r="L121">
        <v>1</v>
      </c>
      <c r="M121">
        <v>2</v>
      </c>
      <c r="N121">
        <v>1</v>
      </c>
      <c r="O121">
        <v>1</v>
      </c>
      <c r="P121">
        <v>4</v>
      </c>
      <c r="Q121">
        <v>0</v>
      </c>
      <c r="R121">
        <v>0</v>
      </c>
      <c r="S121">
        <v>1</v>
      </c>
      <c r="T121">
        <v>1</v>
      </c>
      <c r="U121" s="1" t="s">
        <v>764</v>
      </c>
      <c r="V121" s="1" t="s">
        <v>127</v>
      </c>
      <c r="W121" s="1">
        <f t="shared" si="1"/>
        <v>47.46</v>
      </c>
      <c r="X121" s="1" t="s">
        <v>765</v>
      </c>
      <c r="Y121">
        <v>1</v>
      </c>
      <c r="Z121">
        <v>1</v>
      </c>
      <c r="AA121">
        <v>31</v>
      </c>
    </row>
    <row r="122" spans="1:27" x14ac:dyDescent="0.3">
      <c r="A122" s="1" t="s">
        <v>766</v>
      </c>
      <c r="B122">
        <v>121</v>
      </c>
      <c r="C122" s="1" t="s">
        <v>767</v>
      </c>
      <c r="D122" s="1" t="s">
        <v>768</v>
      </c>
      <c r="E122" s="1" t="s">
        <v>29</v>
      </c>
      <c r="F122" s="1" t="s">
        <v>769</v>
      </c>
      <c r="G122" s="1" t="s">
        <v>30</v>
      </c>
      <c r="H122" s="1" t="s">
        <v>41</v>
      </c>
      <c r="I122" s="1" t="s">
        <v>33</v>
      </c>
      <c r="J122" s="1" t="s">
        <v>33</v>
      </c>
      <c r="K122" s="1" t="s">
        <v>34</v>
      </c>
      <c r="L122">
        <v>1</v>
      </c>
      <c r="M122">
        <v>0</v>
      </c>
      <c r="N122">
        <v>0</v>
      </c>
      <c r="O122">
        <v>2</v>
      </c>
      <c r="P122">
        <v>1</v>
      </c>
      <c r="Q122">
        <v>1</v>
      </c>
      <c r="R122">
        <v>0</v>
      </c>
      <c r="S122">
        <v>0</v>
      </c>
      <c r="T122">
        <v>0</v>
      </c>
      <c r="U122" s="1" t="s">
        <v>770</v>
      </c>
      <c r="V122" s="1">
        <v>0</v>
      </c>
      <c r="W122" s="1">
        <f t="shared" si="1"/>
        <v>0</v>
      </c>
      <c r="X122" s="1" t="s">
        <v>770</v>
      </c>
      <c r="Y122">
        <v>1</v>
      </c>
      <c r="Z122">
        <v>0</v>
      </c>
      <c r="AA122">
        <v>32</v>
      </c>
    </row>
    <row r="123" spans="1:27" x14ac:dyDescent="0.3">
      <c r="A123" s="1" t="s">
        <v>771</v>
      </c>
      <c r="B123">
        <v>122</v>
      </c>
      <c r="C123" s="1" t="s">
        <v>772</v>
      </c>
      <c r="D123" s="1" t="s">
        <v>773</v>
      </c>
      <c r="E123" s="1" t="s">
        <v>39</v>
      </c>
      <c r="F123" s="1" t="s">
        <v>774</v>
      </c>
      <c r="G123" s="1" t="s">
        <v>775</v>
      </c>
      <c r="H123" s="1" t="s">
        <v>48</v>
      </c>
      <c r="I123" s="1" t="s">
        <v>33</v>
      </c>
      <c r="J123" s="1" t="s">
        <v>33</v>
      </c>
      <c r="K123" s="1" t="s">
        <v>34</v>
      </c>
      <c r="L123">
        <v>1</v>
      </c>
      <c r="M123">
        <v>0</v>
      </c>
      <c r="N123">
        <v>0</v>
      </c>
      <c r="O123">
        <v>3</v>
      </c>
      <c r="P123">
        <v>1</v>
      </c>
      <c r="Q123">
        <v>1</v>
      </c>
      <c r="R123">
        <v>0</v>
      </c>
      <c r="S123">
        <v>0</v>
      </c>
      <c r="T123">
        <v>0</v>
      </c>
      <c r="U123" s="1" t="s">
        <v>776</v>
      </c>
      <c r="V123" s="1">
        <v>0</v>
      </c>
      <c r="W123" s="1">
        <f t="shared" si="1"/>
        <v>0</v>
      </c>
      <c r="X123" s="1" t="s">
        <v>776</v>
      </c>
      <c r="Y123">
        <v>1</v>
      </c>
      <c r="Z123">
        <v>0</v>
      </c>
      <c r="AA123">
        <v>33</v>
      </c>
    </row>
    <row r="124" spans="1:27" x14ac:dyDescent="0.3">
      <c r="A124" s="1" t="s">
        <v>777</v>
      </c>
      <c r="B124">
        <v>123</v>
      </c>
      <c r="C124" s="1" t="s">
        <v>778</v>
      </c>
      <c r="D124" s="1" t="s">
        <v>779</v>
      </c>
      <c r="E124" s="1" t="s">
        <v>41</v>
      </c>
      <c r="F124" s="1" t="s">
        <v>779</v>
      </c>
      <c r="G124" s="1" t="s">
        <v>780</v>
      </c>
      <c r="H124" s="1" t="s">
        <v>55</v>
      </c>
      <c r="I124" s="1" t="s">
        <v>33</v>
      </c>
      <c r="J124" s="1" t="s">
        <v>33</v>
      </c>
      <c r="K124" s="1" t="s">
        <v>34</v>
      </c>
      <c r="L124">
        <v>2</v>
      </c>
      <c r="M124">
        <v>0</v>
      </c>
      <c r="N124">
        <v>0</v>
      </c>
      <c r="O124">
        <v>4</v>
      </c>
      <c r="P124">
        <v>2</v>
      </c>
      <c r="Q124">
        <v>1</v>
      </c>
      <c r="R124">
        <v>0</v>
      </c>
      <c r="S124">
        <v>0</v>
      </c>
      <c r="T124">
        <v>0</v>
      </c>
      <c r="U124" s="1" t="s">
        <v>714</v>
      </c>
      <c r="V124" s="1">
        <v>0</v>
      </c>
      <c r="W124" s="1">
        <f t="shared" si="1"/>
        <v>0</v>
      </c>
      <c r="X124" s="1" t="s">
        <v>714</v>
      </c>
      <c r="Y124">
        <v>1</v>
      </c>
      <c r="Z124">
        <v>0</v>
      </c>
      <c r="AA124">
        <v>34</v>
      </c>
    </row>
    <row r="125" spans="1:27" x14ac:dyDescent="0.3">
      <c r="A125" s="1" t="s">
        <v>781</v>
      </c>
      <c r="B125">
        <v>124</v>
      </c>
      <c r="C125" s="1" t="s">
        <v>782</v>
      </c>
      <c r="D125" s="1" t="s">
        <v>783</v>
      </c>
      <c r="E125" s="1" t="s">
        <v>32</v>
      </c>
      <c r="F125" s="1" t="s">
        <v>784</v>
      </c>
      <c r="G125" s="1" t="s">
        <v>785</v>
      </c>
      <c r="H125" s="1" t="s">
        <v>63</v>
      </c>
      <c r="I125" s="1" t="s">
        <v>56</v>
      </c>
      <c r="J125" s="1" t="s">
        <v>33</v>
      </c>
      <c r="K125" s="1" t="s">
        <v>34</v>
      </c>
      <c r="L125">
        <v>2</v>
      </c>
      <c r="M125">
        <v>1</v>
      </c>
      <c r="N125">
        <v>0</v>
      </c>
      <c r="O125">
        <v>5</v>
      </c>
      <c r="P125">
        <v>3</v>
      </c>
      <c r="Q125">
        <v>0</v>
      </c>
      <c r="R125">
        <v>1</v>
      </c>
      <c r="S125">
        <v>0</v>
      </c>
      <c r="T125">
        <v>0</v>
      </c>
      <c r="U125" s="1" t="s">
        <v>786</v>
      </c>
      <c r="V125" s="1">
        <v>0</v>
      </c>
      <c r="W125" s="1">
        <f t="shared" si="1"/>
        <v>0</v>
      </c>
      <c r="X125" s="1" t="s">
        <v>786</v>
      </c>
      <c r="Y125">
        <v>1</v>
      </c>
      <c r="Z125">
        <v>0</v>
      </c>
      <c r="AA125">
        <v>35</v>
      </c>
    </row>
    <row r="126" spans="1:27" x14ac:dyDescent="0.3">
      <c r="A126" s="1" t="s">
        <v>787</v>
      </c>
      <c r="B126">
        <v>125</v>
      </c>
      <c r="C126" s="1" t="s">
        <v>788</v>
      </c>
      <c r="D126" s="1" t="s">
        <v>667</v>
      </c>
      <c r="E126" s="1" t="s">
        <v>29</v>
      </c>
      <c r="F126" s="1" t="s">
        <v>566</v>
      </c>
      <c r="G126" s="1" t="s">
        <v>789</v>
      </c>
      <c r="H126" s="1" t="s">
        <v>74</v>
      </c>
      <c r="I126" s="1" t="s">
        <v>64</v>
      </c>
      <c r="J126" s="1" t="s">
        <v>75</v>
      </c>
      <c r="K126" s="1" t="s">
        <v>790</v>
      </c>
      <c r="L126">
        <v>2</v>
      </c>
      <c r="M126">
        <v>0</v>
      </c>
      <c r="N126">
        <v>0</v>
      </c>
      <c r="O126">
        <v>6</v>
      </c>
      <c r="P126">
        <v>2</v>
      </c>
      <c r="Q126">
        <v>0</v>
      </c>
      <c r="R126">
        <v>0</v>
      </c>
      <c r="S126">
        <v>0</v>
      </c>
      <c r="T126">
        <v>0</v>
      </c>
      <c r="U126" s="1" t="s">
        <v>791</v>
      </c>
      <c r="V126" s="1" t="s">
        <v>792</v>
      </c>
      <c r="W126" s="1">
        <f t="shared" si="1"/>
        <v>20.34</v>
      </c>
      <c r="X126" s="1" t="s">
        <v>793</v>
      </c>
      <c r="Y126">
        <v>1</v>
      </c>
      <c r="Z126">
        <v>0</v>
      </c>
      <c r="AA126">
        <v>36</v>
      </c>
    </row>
    <row r="127" spans="1:27" x14ac:dyDescent="0.3">
      <c r="A127" s="1" t="s">
        <v>794</v>
      </c>
      <c r="B127">
        <v>126</v>
      </c>
      <c r="C127" s="1" t="s">
        <v>795</v>
      </c>
      <c r="D127" s="1" t="s">
        <v>796</v>
      </c>
      <c r="E127" s="1" t="s">
        <v>39</v>
      </c>
      <c r="F127" s="1" t="s">
        <v>796</v>
      </c>
      <c r="G127" s="1" t="s">
        <v>796</v>
      </c>
      <c r="H127" s="1" t="s">
        <v>29</v>
      </c>
      <c r="I127" s="1" t="s">
        <v>64</v>
      </c>
      <c r="J127" s="1" t="s">
        <v>41</v>
      </c>
      <c r="K127" s="1" t="s">
        <v>797</v>
      </c>
      <c r="L127">
        <v>3</v>
      </c>
      <c r="M127">
        <v>2</v>
      </c>
      <c r="N127">
        <v>0</v>
      </c>
      <c r="O127">
        <v>1</v>
      </c>
      <c r="P127">
        <v>5</v>
      </c>
      <c r="Q127">
        <v>0</v>
      </c>
      <c r="R127">
        <v>0</v>
      </c>
      <c r="S127">
        <v>0</v>
      </c>
      <c r="T127">
        <v>0</v>
      </c>
      <c r="U127" s="1" t="s">
        <v>798</v>
      </c>
      <c r="V127" s="1" t="s">
        <v>177</v>
      </c>
      <c r="W127" s="1">
        <f t="shared" si="1"/>
        <v>61.02</v>
      </c>
      <c r="X127" s="1" t="s">
        <v>799</v>
      </c>
      <c r="Y127">
        <v>1</v>
      </c>
      <c r="Z127">
        <v>0</v>
      </c>
      <c r="AA127">
        <v>37</v>
      </c>
    </row>
    <row r="128" spans="1:27" x14ac:dyDescent="0.3">
      <c r="A128" s="1" t="s">
        <v>800</v>
      </c>
      <c r="B128">
        <v>127</v>
      </c>
      <c r="C128" s="1" t="s">
        <v>801</v>
      </c>
      <c r="D128" s="1" t="s">
        <v>682</v>
      </c>
      <c r="E128" s="1" t="s">
        <v>41</v>
      </c>
      <c r="F128" s="1" t="s">
        <v>802</v>
      </c>
      <c r="G128" s="1" t="s">
        <v>803</v>
      </c>
      <c r="H128" s="1" t="s">
        <v>32</v>
      </c>
      <c r="I128" s="1" t="s">
        <v>32</v>
      </c>
      <c r="J128" s="1" t="s">
        <v>41</v>
      </c>
      <c r="K128" s="1" t="s">
        <v>804</v>
      </c>
      <c r="L128">
        <v>3</v>
      </c>
      <c r="M128">
        <v>0</v>
      </c>
      <c r="N128">
        <v>0</v>
      </c>
      <c r="O128">
        <v>2</v>
      </c>
      <c r="P128">
        <v>3</v>
      </c>
      <c r="Q128">
        <v>0</v>
      </c>
      <c r="R128">
        <v>0</v>
      </c>
      <c r="S128">
        <v>1</v>
      </c>
      <c r="T128">
        <v>1</v>
      </c>
      <c r="U128" s="1" t="s">
        <v>805</v>
      </c>
      <c r="V128" s="1" t="s">
        <v>87</v>
      </c>
      <c r="W128" s="1">
        <f t="shared" si="1"/>
        <v>274.58999999999997</v>
      </c>
      <c r="X128" s="1" t="s">
        <v>659</v>
      </c>
      <c r="Y128">
        <v>1</v>
      </c>
      <c r="Z128">
        <v>1</v>
      </c>
      <c r="AA128">
        <v>38</v>
      </c>
    </row>
    <row r="129" spans="1:27" x14ac:dyDescent="0.3">
      <c r="A129" s="1" t="s">
        <v>806</v>
      </c>
      <c r="B129">
        <v>128</v>
      </c>
      <c r="C129" s="1" t="s">
        <v>807</v>
      </c>
      <c r="D129" s="1" t="s">
        <v>808</v>
      </c>
      <c r="E129" s="1" t="s">
        <v>32</v>
      </c>
      <c r="F129" s="1" t="s">
        <v>808</v>
      </c>
      <c r="G129" s="1" t="s">
        <v>808</v>
      </c>
      <c r="H129" s="1" t="s">
        <v>41</v>
      </c>
      <c r="I129" s="1" t="s">
        <v>32</v>
      </c>
      <c r="J129" s="1" t="s">
        <v>32</v>
      </c>
      <c r="K129" s="1" t="s">
        <v>809</v>
      </c>
      <c r="L129">
        <v>3</v>
      </c>
      <c r="M129">
        <v>1</v>
      </c>
      <c r="N129">
        <v>0</v>
      </c>
      <c r="O129">
        <v>3</v>
      </c>
      <c r="P129">
        <v>4</v>
      </c>
      <c r="Q129">
        <v>0</v>
      </c>
      <c r="R129">
        <v>0</v>
      </c>
      <c r="S129">
        <v>1</v>
      </c>
      <c r="T129">
        <v>1</v>
      </c>
      <c r="U129" s="1" t="s">
        <v>810</v>
      </c>
      <c r="V129" s="1" t="s">
        <v>96</v>
      </c>
      <c r="W129" s="1">
        <f t="shared" si="1"/>
        <v>229.39</v>
      </c>
      <c r="X129" s="1" t="s">
        <v>663</v>
      </c>
      <c r="Y129">
        <v>1</v>
      </c>
      <c r="Z129">
        <v>1</v>
      </c>
      <c r="AA129">
        <v>39</v>
      </c>
    </row>
    <row r="130" spans="1:27" x14ac:dyDescent="0.3">
      <c r="A130" s="1" t="s">
        <v>811</v>
      </c>
      <c r="B130">
        <v>129</v>
      </c>
      <c r="C130" s="1" t="s">
        <v>812</v>
      </c>
      <c r="D130" s="1" t="s">
        <v>813</v>
      </c>
      <c r="E130" s="1" t="s">
        <v>29</v>
      </c>
      <c r="F130" s="1" t="s">
        <v>694</v>
      </c>
      <c r="G130" s="1" t="s">
        <v>814</v>
      </c>
      <c r="H130" s="1" t="s">
        <v>48</v>
      </c>
      <c r="I130" s="1" t="s">
        <v>32</v>
      </c>
      <c r="J130" s="1" t="s">
        <v>74</v>
      </c>
      <c r="K130" s="1" t="s">
        <v>815</v>
      </c>
      <c r="L130">
        <v>3</v>
      </c>
      <c r="M130">
        <v>0</v>
      </c>
      <c r="N130">
        <v>0</v>
      </c>
      <c r="O130">
        <v>4</v>
      </c>
      <c r="P130">
        <v>3</v>
      </c>
      <c r="Q130">
        <v>0</v>
      </c>
      <c r="R130">
        <v>0</v>
      </c>
      <c r="S130">
        <v>1</v>
      </c>
      <c r="T130">
        <v>1</v>
      </c>
      <c r="U130" s="1" t="s">
        <v>815</v>
      </c>
      <c r="V130" s="1" t="s">
        <v>104</v>
      </c>
      <c r="W130" s="1">
        <f t="shared" ref="W130:W193" si="2">VALUE(SUBSTITUTE(TRIM(V130),".", ","))</f>
        <v>76.84</v>
      </c>
      <c r="X130" s="1" t="s">
        <v>816</v>
      </c>
      <c r="Y130">
        <v>1</v>
      </c>
      <c r="Z130">
        <v>1</v>
      </c>
      <c r="AA130">
        <v>40</v>
      </c>
    </row>
    <row r="131" spans="1:27" x14ac:dyDescent="0.3">
      <c r="A131" s="1" t="s">
        <v>817</v>
      </c>
      <c r="B131">
        <v>130</v>
      </c>
      <c r="C131" s="1" t="s">
        <v>818</v>
      </c>
      <c r="D131" s="1" t="s">
        <v>703</v>
      </c>
      <c r="E131" s="1" t="s">
        <v>39</v>
      </c>
      <c r="F131" s="1" t="s">
        <v>819</v>
      </c>
      <c r="G131" s="1" t="s">
        <v>820</v>
      </c>
      <c r="H131" s="1" t="s">
        <v>55</v>
      </c>
      <c r="I131" s="1" t="s">
        <v>32</v>
      </c>
      <c r="J131" s="1" t="s">
        <v>29</v>
      </c>
      <c r="K131" s="1" t="s">
        <v>821</v>
      </c>
      <c r="L131">
        <v>1</v>
      </c>
      <c r="M131">
        <v>0</v>
      </c>
      <c r="N131">
        <v>0</v>
      </c>
      <c r="O131">
        <v>5</v>
      </c>
      <c r="P131">
        <v>1</v>
      </c>
      <c r="Q131">
        <v>0</v>
      </c>
      <c r="R131">
        <v>0</v>
      </c>
      <c r="S131">
        <v>1</v>
      </c>
      <c r="T131">
        <v>1</v>
      </c>
      <c r="U131" s="1" t="s">
        <v>822</v>
      </c>
      <c r="V131" s="1" t="s">
        <v>111</v>
      </c>
      <c r="W131" s="1">
        <f t="shared" si="2"/>
        <v>80.229999999999905</v>
      </c>
      <c r="X131" s="1" t="s">
        <v>823</v>
      </c>
      <c r="Y131">
        <v>1</v>
      </c>
      <c r="Z131">
        <v>1</v>
      </c>
      <c r="AA131">
        <v>41</v>
      </c>
    </row>
    <row r="132" spans="1:27" x14ac:dyDescent="0.3">
      <c r="A132" s="1" t="s">
        <v>824</v>
      </c>
      <c r="B132">
        <v>131</v>
      </c>
      <c r="C132" s="1" t="s">
        <v>825</v>
      </c>
      <c r="D132" s="1" t="s">
        <v>826</v>
      </c>
      <c r="E132" s="1" t="s">
        <v>41</v>
      </c>
      <c r="F132" s="1" t="s">
        <v>827</v>
      </c>
      <c r="G132" s="1" t="s">
        <v>116</v>
      </c>
      <c r="H132" s="1" t="s">
        <v>63</v>
      </c>
      <c r="I132" s="1" t="s">
        <v>32</v>
      </c>
      <c r="J132" s="1" t="s">
        <v>75</v>
      </c>
      <c r="K132" s="1" t="s">
        <v>828</v>
      </c>
      <c r="L132">
        <v>1</v>
      </c>
      <c r="M132">
        <v>0</v>
      </c>
      <c r="N132">
        <v>0</v>
      </c>
      <c r="O132">
        <v>6</v>
      </c>
      <c r="P132">
        <v>1</v>
      </c>
      <c r="Q132">
        <v>0</v>
      </c>
      <c r="R132">
        <v>0</v>
      </c>
      <c r="S132">
        <v>1</v>
      </c>
      <c r="T132">
        <v>1</v>
      </c>
      <c r="U132" s="1" t="s">
        <v>829</v>
      </c>
      <c r="V132" s="1" t="s">
        <v>345</v>
      </c>
      <c r="W132" s="1">
        <f t="shared" si="2"/>
        <v>265.32</v>
      </c>
      <c r="X132" s="1" t="s">
        <v>685</v>
      </c>
      <c r="Y132">
        <v>1</v>
      </c>
      <c r="Z132">
        <v>1</v>
      </c>
      <c r="AA132">
        <v>42</v>
      </c>
    </row>
    <row r="133" spans="1:27" x14ac:dyDescent="0.3">
      <c r="A133" s="1" t="s">
        <v>830</v>
      </c>
      <c r="B133">
        <v>132</v>
      </c>
      <c r="C133" s="1" t="s">
        <v>831</v>
      </c>
      <c r="D133" s="1" t="s">
        <v>832</v>
      </c>
      <c r="E133" s="1" t="s">
        <v>32</v>
      </c>
      <c r="F133" s="1" t="s">
        <v>602</v>
      </c>
      <c r="G133" s="1" t="s">
        <v>833</v>
      </c>
      <c r="H133" s="1" t="s">
        <v>74</v>
      </c>
      <c r="I133" s="1" t="s">
        <v>32</v>
      </c>
      <c r="J133" s="1" t="s">
        <v>41</v>
      </c>
      <c r="K133" s="1" t="s">
        <v>834</v>
      </c>
      <c r="L133">
        <v>1</v>
      </c>
      <c r="M133">
        <v>2</v>
      </c>
      <c r="N133">
        <v>1</v>
      </c>
      <c r="O133">
        <v>1</v>
      </c>
      <c r="P133">
        <v>4</v>
      </c>
      <c r="Q133">
        <v>0</v>
      </c>
      <c r="R133">
        <v>0</v>
      </c>
      <c r="S133">
        <v>1</v>
      </c>
      <c r="T133">
        <v>1</v>
      </c>
      <c r="U133" s="1" t="s">
        <v>834</v>
      </c>
      <c r="V133" s="1" t="s">
        <v>353</v>
      </c>
      <c r="W133" s="1">
        <f t="shared" si="2"/>
        <v>42.71</v>
      </c>
      <c r="X133" s="1" t="s">
        <v>835</v>
      </c>
      <c r="Y133">
        <v>1</v>
      </c>
      <c r="Z133">
        <v>1</v>
      </c>
      <c r="AA133">
        <v>43</v>
      </c>
    </row>
    <row r="134" spans="1:27" x14ac:dyDescent="0.3">
      <c r="A134" s="1" t="s">
        <v>836</v>
      </c>
      <c r="B134">
        <v>133</v>
      </c>
      <c r="C134" s="1" t="s">
        <v>837</v>
      </c>
      <c r="D134" s="1" t="s">
        <v>838</v>
      </c>
      <c r="E134" s="1" t="s">
        <v>29</v>
      </c>
      <c r="F134" s="1" t="s">
        <v>839</v>
      </c>
      <c r="G134" s="1" t="s">
        <v>840</v>
      </c>
      <c r="H134" s="1" t="s">
        <v>29</v>
      </c>
      <c r="I134" s="1" t="s">
        <v>32</v>
      </c>
      <c r="J134" s="1" t="s">
        <v>32</v>
      </c>
      <c r="K134" s="1" t="s">
        <v>696</v>
      </c>
      <c r="L134">
        <v>2</v>
      </c>
      <c r="M134">
        <v>0</v>
      </c>
      <c r="N134">
        <v>0</v>
      </c>
      <c r="O134">
        <v>2</v>
      </c>
      <c r="P134">
        <v>2</v>
      </c>
      <c r="Q134">
        <v>0</v>
      </c>
      <c r="R134">
        <v>0</v>
      </c>
      <c r="S134">
        <v>1</v>
      </c>
      <c r="T134">
        <v>1</v>
      </c>
      <c r="U134" s="1" t="s">
        <v>697</v>
      </c>
      <c r="V134" s="1" t="s">
        <v>288</v>
      </c>
      <c r="W134" s="1">
        <f t="shared" si="2"/>
        <v>301.70999999999998</v>
      </c>
      <c r="X134" s="1" t="s">
        <v>698</v>
      </c>
      <c r="Y134">
        <v>1</v>
      </c>
      <c r="Z134">
        <v>1</v>
      </c>
      <c r="AA134">
        <v>44</v>
      </c>
    </row>
    <row r="135" spans="1:27" x14ac:dyDescent="0.3">
      <c r="A135" s="1" t="s">
        <v>841</v>
      </c>
      <c r="B135">
        <v>134</v>
      </c>
      <c r="C135" s="1" t="s">
        <v>842</v>
      </c>
      <c r="D135" s="1" t="s">
        <v>843</v>
      </c>
      <c r="E135" s="1" t="s">
        <v>39</v>
      </c>
      <c r="F135" s="1" t="s">
        <v>610</v>
      </c>
      <c r="G135" s="1" t="s">
        <v>844</v>
      </c>
      <c r="H135" s="1" t="s">
        <v>32</v>
      </c>
      <c r="I135" s="1" t="s">
        <v>32</v>
      </c>
      <c r="J135" s="1" t="s">
        <v>74</v>
      </c>
      <c r="K135" s="1" t="s">
        <v>845</v>
      </c>
      <c r="L135">
        <v>2</v>
      </c>
      <c r="M135">
        <v>0</v>
      </c>
      <c r="N135">
        <v>0</v>
      </c>
      <c r="O135">
        <v>3</v>
      </c>
      <c r="P135">
        <v>2</v>
      </c>
      <c r="Q135">
        <v>0</v>
      </c>
      <c r="R135">
        <v>0</v>
      </c>
      <c r="S135">
        <v>1</v>
      </c>
      <c r="T135">
        <v>1</v>
      </c>
      <c r="U135" s="1" t="s">
        <v>846</v>
      </c>
      <c r="V135" s="1" t="s">
        <v>144</v>
      </c>
      <c r="W135" s="1">
        <f t="shared" si="2"/>
        <v>202.26999999999899</v>
      </c>
      <c r="X135" s="1" t="s">
        <v>776</v>
      </c>
      <c r="Y135">
        <v>1</v>
      </c>
      <c r="Z135">
        <v>1</v>
      </c>
      <c r="AA135">
        <v>45</v>
      </c>
    </row>
    <row r="136" spans="1:27" x14ac:dyDescent="0.3">
      <c r="A136" s="1" t="s">
        <v>847</v>
      </c>
      <c r="B136">
        <v>135</v>
      </c>
      <c r="C136" s="1" t="s">
        <v>848</v>
      </c>
      <c r="D136" s="1" t="s">
        <v>849</v>
      </c>
      <c r="E136" s="1" t="s">
        <v>41</v>
      </c>
      <c r="F136" s="1" t="s">
        <v>850</v>
      </c>
      <c r="G136" s="1" t="s">
        <v>851</v>
      </c>
      <c r="H136" s="1" t="s">
        <v>41</v>
      </c>
      <c r="I136" s="1" t="s">
        <v>32</v>
      </c>
      <c r="J136" s="1" t="s">
        <v>29</v>
      </c>
      <c r="K136" s="1" t="s">
        <v>852</v>
      </c>
      <c r="L136">
        <v>2</v>
      </c>
      <c r="M136">
        <v>0</v>
      </c>
      <c r="N136">
        <v>0</v>
      </c>
      <c r="O136">
        <v>4</v>
      </c>
      <c r="P136">
        <v>2</v>
      </c>
      <c r="Q136">
        <v>0</v>
      </c>
      <c r="R136">
        <v>0</v>
      </c>
      <c r="S136">
        <v>1</v>
      </c>
      <c r="T136">
        <v>1</v>
      </c>
      <c r="U136" s="1" t="s">
        <v>852</v>
      </c>
      <c r="V136" s="1" t="s">
        <v>152</v>
      </c>
      <c r="W136" s="1">
        <f t="shared" si="2"/>
        <v>63.28</v>
      </c>
      <c r="X136" s="1" t="s">
        <v>853</v>
      </c>
      <c r="Y136">
        <v>1</v>
      </c>
      <c r="Z136">
        <v>1</v>
      </c>
      <c r="AA136">
        <v>46</v>
      </c>
    </row>
    <row r="137" spans="1:27" x14ac:dyDescent="0.3">
      <c r="A137" s="1" t="s">
        <v>854</v>
      </c>
      <c r="B137">
        <v>136</v>
      </c>
      <c r="C137" s="1" t="s">
        <v>855</v>
      </c>
      <c r="D137" s="1" t="s">
        <v>856</v>
      </c>
      <c r="E137" s="1" t="s">
        <v>32</v>
      </c>
      <c r="F137" s="1" t="s">
        <v>857</v>
      </c>
      <c r="G137" s="1" t="s">
        <v>858</v>
      </c>
      <c r="H137" s="1" t="s">
        <v>48</v>
      </c>
      <c r="I137" s="1" t="s">
        <v>32</v>
      </c>
      <c r="J137" s="1" t="s">
        <v>75</v>
      </c>
      <c r="K137" s="1" t="s">
        <v>719</v>
      </c>
      <c r="L137">
        <v>3</v>
      </c>
      <c r="M137">
        <v>1</v>
      </c>
      <c r="N137">
        <v>0</v>
      </c>
      <c r="O137">
        <v>5</v>
      </c>
      <c r="P137">
        <v>4</v>
      </c>
      <c r="Q137">
        <v>0</v>
      </c>
      <c r="R137">
        <v>0</v>
      </c>
      <c r="S137">
        <v>1</v>
      </c>
      <c r="T137">
        <v>1</v>
      </c>
      <c r="U137" s="1" t="s">
        <v>720</v>
      </c>
      <c r="V137" s="1" t="s">
        <v>161</v>
      </c>
      <c r="W137" s="1">
        <f t="shared" si="2"/>
        <v>66.67</v>
      </c>
      <c r="X137" s="1" t="s">
        <v>721</v>
      </c>
      <c r="Y137">
        <v>1</v>
      </c>
      <c r="Z137">
        <v>1</v>
      </c>
      <c r="AA137">
        <v>47</v>
      </c>
    </row>
    <row r="138" spans="1:27" x14ac:dyDescent="0.3">
      <c r="A138" s="1" t="s">
        <v>859</v>
      </c>
      <c r="B138">
        <v>137</v>
      </c>
      <c r="C138" s="1" t="s">
        <v>860</v>
      </c>
      <c r="D138" s="1" t="s">
        <v>861</v>
      </c>
      <c r="E138" s="1" t="s">
        <v>29</v>
      </c>
      <c r="F138" s="1" t="s">
        <v>861</v>
      </c>
      <c r="G138" s="1" t="s">
        <v>862</v>
      </c>
      <c r="H138" s="1" t="s">
        <v>55</v>
      </c>
      <c r="I138" s="1" t="s">
        <v>32</v>
      </c>
      <c r="J138" s="1" t="s">
        <v>41</v>
      </c>
      <c r="K138" s="1" t="s">
        <v>863</v>
      </c>
      <c r="L138">
        <v>3</v>
      </c>
      <c r="M138">
        <v>0</v>
      </c>
      <c r="N138">
        <v>0</v>
      </c>
      <c r="O138">
        <v>6</v>
      </c>
      <c r="P138">
        <v>3</v>
      </c>
      <c r="Q138">
        <v>0</v>
      </c>
      <c r="R138">
        <v>0</v>
      </c>
      <c r="S138">
        <v>1</v>
      </c>
      <c r="T138">
        <v>1</v>
      </c>
      <c r="U138" s="1" t="s">
        <v>864</v>
      </c>
      <c r="V138" s="1" t="s">
        <v>385</v>
      </c>
      <c r="W138" s="1">
        <f t="shared" si="2"/>
        <v>251.43</v>
      </c>
      <c r="X138" s="1" t="s">
        <v>648</v>
      </c>
      <c r="Y138">
        <v>1</v>
      </c>
      <c r="Z138">
        <v>1</v>
      </c>
      <c r="AA138">
        <v>48</v>
      </c>
    </row>
    <row r="139" spans="1:27" x14ac:dyDescent="0.3">
      <c r="A139" s="1" t="s">
        <v>865</v>
      </c>
      <c r="B139">
        <v>138</v>
      </c>
      <c r="C139" s="1" t="s">
        <v>866</v>
      </c>
      <c r="D139" s="1" t="s">
        <v>754</v>
      </c>
      <c r="E139" s="1" t="s">
        <v>39</v>
      </c>
      <c r="F139" s="1" t="s">
        <v>867</v>
      </c>
      <c r="G139" s="1" t="s">
        <v>868</v>
      </c>
      <c r="H139" s="1" t="s">
        <v>63</v>
      </c>
      <c r="I139" s="1" t="s">
        <v>32</v>
      </c>
      <c r="J139" s="1" t="s">
        <v>32</v>
      </c>
      <c r="K139" s="1" t="s">
        <v>731</v>
      </c>
      <c r="L139">
        <v>3</v>
      </c>
      <c r="M139">
        <v>2</v>
      </c>
      <c r="N139">
        <v>0</v>
      </c>
      <c r="O139">
        <v>1</v>
      </c>
      <c r="P139">
        <v>5</v>
      </c>
      <c r="Q139">
        <v>0</v>
      </c>
      <c r="R139">
        <v>0</v>
      </c>
      <c r="S139">
        <v>1</v>
      </c>
      <c r="T139">
        <v>1</v>
      </c>
      <c r="U139" s="1" t="s">
        <v>731</v>
      </c>
      <c r="V139" s="1" t="s">
        <v>177</v>
      </c>
      <c r="W139" s="1">
        <f t="shared" si="2"/>
        <v>61.02</v>
      </c>
      <c r="X139" s="1" t="s">
        <v>732</v>
      </c>
      <c r="Y139">
        <v>1</v>
      </c>
      <c r="Z139">
        <v>1</v>
      </c>
      <c r="AA139">
        <v>49</v>
      </c>
    </row>
    <row r="140" spans="1:27" x14ac:dyDescent="0.3">
      <c r="A140" s="1" t="s">
        <v>869</v>
      </c>
      <c r="B140">
        <v>139</v>
      </c>
      <c r="C140" s="1" t="s">
        <v>870</v>
      </c>
      <c r="D140" s="1" t="s">
        <v>871</v>
      </c>
      <c r="E140" s="1" t="s">
        <v>41</v>
      </c>
      <c r="F140" s="1" t="s">
        <v>872</v>
      </c>
      <c r="G140" s="1" t="s">
        <v>873</v>
      </c>
      <c r="H140" s="1" t="s">
        <v>74</v>
      </c>
      <c r="I140" s="1" t="s">
        <v>32</v>
      </c>
      <c r="J140" s="1" t="s">
        <v>74</v>
      </c>
      <c r="K140" s="1" t="s">
        <v>874</v>
      </c>
      <c r="L140">
        <v>3</v>
      </c>
      <c r="M140">
        <v>0</v>
      </c>
      <c r="N140">
        <v>0</v>
      </c>
      <c r="O140">
        <v>2</v>
      </c>
      <c r="P140">
        <v>3</v>
      </c>
      <c r="Q140">
        <v>0</v>
      </c>
      <c r="R140">
        <v>0</v>
      </c>
      <c r="S140">
        <v>1</v>
      </c>
      <c r="T140">
        <v>1</v>
      </c>
      <c r="U140" s="1" t="s">
        <v>875</v>
      </c>
      <c r="V140" s="1" t="s">
        <v>398</v>
      </c>
      <c r="W140" s="1">
        <f t="shared" si="2"/>
        <v>255.95</v>
      </c>
      <c r="X140" s="1" t="s">
        <v>659</v>
      </c>
      <c r="Y140">
        <v>1</v>
      </c>
      <c r="Z140">
        <v>1</v>
      </c>
      <c r="AA140">
        <v>50</v>
      </c>
    </row>
    <row r="141" spans="1:27" x14ac:dyDescent="0.3">
      <c r="A141" s="1" t="s">
        <v>876</v>
      </c>
      <c r="B141">
        <v>140</v>
      </c>
      <c r="C141" s="1" t="s">
        <v>877</v>
      </c>
      <c r="D141" s="1" t="s">
        <v>878</v>
      </c>
      <c r="E141" s="1" t="s">
        <v>32</v>
      </c>
      <c r="F141" s="1" t="s">
        <v>879</v>
      </c>
      <c r="G141" s="1" t="s">
        <v>880</v>
      </c>
      <c r="H141" s="1" t="s">
        <v>29</v>
      </c>
      <c r="I141" s="1" t="s">
        <v>32</v>
      </c>
      <c r="J141" s="1" t="s">
        <v>29</v>
      </c>
      <c r="K141" s="1" t="s">
        <v>881</v>
      </c>
      <c r="L141">
        <v>1</v>
      </c>
      <c r="M141">
        <v>1</v>
      </c>
      <c r="N141">
        <v>0</v>
      </c>
      <c r="O141">
        <v>3</v>
      </c>
      <c r="P141">
        <v>2</v>
      </c>
      <c r="Q141">
        <v>0</v>
      </c>
      <c r="R141">
        <v>0</v>
      </c>
      <c r="S141">
        <v>1</v>
      </c>
      <c r="T141">
        <v>1</v>
      </c>
      <c r="U141" s="1" t="s">
        <v>882</v>
      </c>
      <c r="V141" s="1" t="s">
        <v>96</v>
      </c>
      <c r="W141" s="1">
        <f t="shared" si="2"/>
        <v>229.39</v>
      </c>
      <c r="X141" s="1" t="s">
        <v>883</v>
      </c>
      <c r="Y141">
        <v>1</v>
      </c>
      <c r="Z141">
        <v>1</v>
      </c>
      <c r="AA141">
        <v>51</v>
      </c>
    </row>
    <row r="142" spans="1:27" x14ac:dyDescent="0.3">
      <c r="A142" s="1" t="s">
        <v>884</v>
      </c>
      <c r="B142">
        <v>141</v>
      </c>
      <c r="C142" s="1" t="s">
        <v>885</v>
      </c>
      <c r="D142" s="1" t="s">
        <v>886</v>
      </c>
      <c r="E142" s="1" t="s">
        <v>29</v>
      </c>
      <c r="F142" s="1" t="s">
        <v>768</v>
      </c>
      <c r="G142" s="1" t="s">
        <v>887</v>
      </c>
      <c r="H142" s="1" t="s">
        <v>32</v>
      </c>
      <c r="I142" s="1" t="s">
        <v>33</v>
      </c>
      <c r="J142" s="1" t="s">
        <v>33</v>
      </c>
      <c r="K142" s="1" t="s">
        <v>34</v>
      </c>
      <c r="L142">
        <v>1</v>
      </c>
      <c r="M142">
        <v>0</v>
      </c>
      <c r="N142">
        <v>0</v>
      </c>
      <c r="O142">
        <v>4</v>
      </c>
      <c r="P142">
        <v>1</v>
      </c>
      <c r="Q142">
        <v>1</v>
      </c>
      <c r="R142">
        <v>0</v>
      </c>
      <c r="S142">
        <v>0</v>
      </c>
      <c r="T142">
        <v>0</v>
      </c>
      <c r="U142" s="1" t="s">
        <v>888</v>
      </c>
      <c r="V142" s="1">
        <v>0</v>
      </c>
      <c r="W142" s="1">
        <f t="shared" si="2"/>
        <v>0</v>
      </c>
      <c r="X142" s="1" t="s">
        <v>888</v>
      </c>
      <c r="Y142">
        <v>1</v>
      </c>
      <c r="Z142">
        <v>0</v>
      </c>
      <c r="AA142">
        <v>52</v>
      </c>
    </row>
    <row r="143" spans="1:27" x14ac:dyDescent="0.3">
      <c r="A143" s="1" t="s">
        <v>889</v>
      </c>
      <c r="B143">
        <v>142</v>
      </c>
      <c r="C143" s="1" t="s">
        <v>890</v>
      </c>
      <c r="D143" s="1" t="s">
        <v>891</v>
      </c>
      <c r="E143" s="1" t="s">
        <v>39</v>
      </c>
      <c r="F143" s="1" t="s">
        <v>891</v>
      </c>
      <c r="G143" s="1" t="s">
        <v>891</v>
      </c>
      <c r="H143" s="1" t="s">
        <v>41</v>
      </c>
      <c r="I143" s="1" t="s">
        <v>33</v>
      </c>
      <c r="J143" s="1" t="s">
        <v>33</v>
      </c>
      <c r="K143" s="1" t="s">
        <v>34</v>
      </c>
      <c r="L143">
        <v>1</v>
      </c>
      <c r="M143">
        <v>0</v>
      </c>
      <c r="N143">
        <v>0</v>
      </c>
      <c r="O143">
        <v>5</v>
      </c>
      <c r="P143">
        <v>1</v>
      </c>
      <c r="Q143">
        <v>1</v>
      </c>
      <c r="R143">
        <v>0</v>
      </c>
      <c r="S143">
        <v>0</v>
      </c>
      <c r="T143">
        <v>0</v>
      </c>
      <c r="U143" s="1">
        <v>1130</v>
      </c>
      <c r="V143" s="1">
        <v>0</v>
      </c>
      <c r="W143" s="1">
        <f t="shared" si="2"/>
        <v>0</v>
      </c>
      <c r="X143" s="1">
        <v>1130</v>
      </c>
      <c r="Y143">
        <v>1</v>
      </c>
      <c r="Z143">
        <v>0</v>
      </c>
      <c r="AA143">
        <v>53</v>
      </c>
    </row>
    <row r="144" spans="1:27" x14ac:dyDescent="0.3">
      <c r="A144" s="1" t="s">
        <v>892</v>
      </c>
      <c r="B144">
        <v>143</v>
      </c>
      <c r="C144" s="1" t="s">
        <v>893</v>
      </c>
      <c r="D144" s="1" t="s">
        <v>780</v>
      </c>
      <c r="E144" s="1" t="s">
        <v>41</v>
      </c>
      <c r="F144" s="1" t="s">
        <v>894</v>
      </c>
      <c r="G144" s="1" t="s">
        <v>894</v>
      </c>
      <c r="H144" s="1" t="s">
        <v>48</v>
      </c>
      <c r="I144" s="1" t="s">
        <v>33</v>
      </c>
      <c r="J144" s="1" t="s">
        <v>33</v>
      </c>
      <c r="K144" s="1" t="s">
        <v>34</v>
      </c>
      <c r="L144">
        <v>2</v>
      </c>
      <c r="M144">
        <v>0</v>
      </c>
      <c r="N144">
        <v>0</v>
      </c>
      <c r="O144">
        <v>6</v>
      </c>
      <c r="P144">
        <v>2</v>
      </c>
      <c r="Q144">
        <v>1</v>
      </c>
      <c r="R144">
        <v>0</v>
      </c>
      <c r="S144">
        <v>0</v>
      </c>
      <c r="T144">
        <v>0</v>
      </c>
      <c r="U144" s="1" t="s">
        <v>895</v>
      </c>
      <c r="V144" s="1">
        <v>0</v>
      </c>
      <c r="W144" s="1">
        <f t="shared" si="2"/>
        <v>0</v>
      </c>
      <c r="X144" s="1" t="s">
        <v>895</v>
      </c>
      <c r="Y144">
        <v>1</v>
      </c>
      <c r="Z144">
        <v>0</v>
      </c>
      <c r="AA144">
        <v>54</v>
      </c>
    </row>
    <row r="145" spans="1:27" x14ac:dyDescent="0.3">
      <c r="A145" s="1" t="s">
        <v>896</v>
      </c>
      <c r="B145">
        <v>144</v>
      </c>
      <c r="C145" s="1" t="s">
        <v>897</v>
      </c>
      <c r="D145" s="1" t="s">
        <v>898</v>
      </c>
      <c r="E145" s="1" t="s">
        <v>32</v>
      </c>
      <c r="F145" s="1" t="s">
        <v>899</v>
      </c>
      <c r="G145" s="1" t="s">
        <v>52</v>
      </c>
      <c r="H145" s="1" t="s">
        <v>55</v>
      </c>
      <c r="I145" s="1" t="s">
        <v>56</v>
      </c>
      <c r="J145" s="1" t="s">
        <v>33</v>
      </c>
      <c r="K145" s="1" t="s">
        <v>34</v>
      </c>
      <c r="L145">
        <v>2</v>
      </c>
      <c r="M145">
        <v>2</v>
      </c>
      <c r="N145">
        <v>1</v>
      </c>
      <c r="O145">
        <v>1</v>
      </c>
      <c r="P145">
        <v>5</v>
      </c>
      <c r="Q145">
        <v>0</v>
      </c>
      <c r="R145">
        <v>1</v>
      </c>
      <c r="S145">
        <v>0</v>
      </c>
      <c r="T145">
        <v>0</v>
      </c>
      <c r="U145" s="1" t="s">
        <v>900</v>
      </c>
      <c r="V145" s="1">
        <v>0</v>
      </c>
      <c r="W145" s="1">
        <f t="shared" si="2"/>
        <v>0</v>
      </c>
      <c r="X145" s="1" t="s">
        <v>900</v>
      </c>
      <c r="Y145">
        <v>1</v>
      </c>
      <c r="Z145">
        <v>0</v>
      </c>
      <c r="AA145">
        <v>55</v>
      </c>
    </row>
    <row r="146" spans="1:27" x14ac:dyDescent="0.3">
      <c r="A146" s="1" t="s">
        <v>901</v>
      </c>
      <c r="B146">
        <v>145</v>
      </c>
      <c r="C146" s="1" t="s">
        <v>902</v>
      </c>
      <c r="D146" s="1" t="s">
        <v>903</v>
      </c>
      <c r="E146" s="1" t="s">
        <v>29</v>
      </c>
      <c r="F146" s="1" t="s">
        <v>667</v>
      </c>
      <c r="G146" s="1" t="s">
        <v>61</v>
      </c>
      <c r="H146" s="1" t="s">
        <v>63</v>
      </c>
      <c r="I146" s="1" t="s">
        <v>64</v>
      </c>
      <c r="J146" s="1" t="s">
        <v>41</v>
      </c>
      <c r="K146" s="1" t="s">
        <v>904</v>
      </c>
      <c r="L146">
        <v>2</v>
      </c>
      <c r="M146">
        <v>0</v>
      </c>
      <c r="N146">
        <v>0</v>
      </c>
      <c r="O146">
        <v>2</v>
      </c>
      <c r="P146">
        <v>2</v>
      </c>
      <c r="Q146">
        <v>0</v>
      </c>
      <c r="R146">
        <v>0</v>
      </c>
      <c r="S146">
        <v>0</v>
      </c>
      <c r="T146">
        <v>0</v>
      </c>
      <c r="U146" s="1" t="s">
        <v>905</v>
      </c>
      <c r="V146" s="1" t="s">
        <v>219</v>
      </c>
      <c r="W146" s="1">
        <f t="shared" si="2"/>
        <v>206.79</v>
      </c>
      <c r="X146" s="1" t="s">
        <v>906</v>
      </c>
      <c r="Y146">
        <v>1</v>
      </c>
      <c r="Z146">
        <v>0</v>
      </c>
      <c r="AA146">
        <v>56</v>
      </c>
    </row>
    <row r="147" spans="1:27" x14ac:dyDescent="0.3">
      <c r="A147" s="1" t="s">
        <v>907</v>
      </c>
      <c r="B147">
        <v>146</v>
      </c>
      <c r="C147" s="1" t="s">
        <v>908</v>
      </c>
      <c r="D147" s="1" t="s">
        <v>909</v>
      </c>
      <c r="E147" s="1" t="s">
        <v>39</v>
      </c>
      <c r="F147" s="1" t="s">
        <v>910</v>
      </c>
      <c r="G147" s="1" t="s">
        <v>71</v>
      </c>
      <c r="H147" s="1" t="s">
        <v>74</v>
      </c>
      <c r="I147" s="1" t="s">
        <v>64</v>
      </c>
      <c r="J147" s="1" t="s">
        <v>32</v>
      </c>
      <c r="K147" s="1" t="s">
        <v>911</v>
      </c>
      <c r="L147">
        <v>3</v>
      </c>
      <c r="M147">
        <v>0</v>
      </c>
      <c r="N147">
        <v>0</v>
      </c>
      <c r="O147">
        <v>3</v>
      </c>
      <c r="P147">
        <v>3</v>
      </c>
      <c r="Q147">
        <v>0</v>
      </c>
      <c r="R147">
        <v>0</v>
      </c>
      <c r="S147">
        <v>0</v>
      </c>
      <c r="T147">
        <v>0</v>
      </c>
      <c r="U147" s="1" t="s">
        <v>912</v>
      </c>
      <c r="V147" s="1" t="s">
        <v>913</v>
      </c>
      <c r="W147" s="1">
        <f t="shared" si="2"/>
        <v>85.43</v>
      </c>
      <c r="X147" s="1">
        <v>678</v>
      </c>
      <c r="Y147">
        <v>1</v>
      </c>
      <c r="Z147">
        <v>0</v>
      </c>
      <c r="AA147">
        <v>57</v>
      </c>
    </row>
    <row r="148" spans="1:27" x14ac:dyDescent="0.3">
      <c r="A148" s="1" t="s">
        <v>914</v>
      </c>
      <c r="B148">
        <v>147</v>
      </c>
      <c r="C148" s="1" t="s">
        <v>915</v>
      </c>
      <c r="D148" s="1" t="s">
        <v>916</v>
      </c>
      <c r="E148" s="1" t="s">
        <v>41</v>
      </c>
      <c r="F148" s="1" t="s">
        <v>682</v>
      </c>
      <c r="G148" s="1" t="s">
        <v>83</v>
      </c>
      <c r="H148" s="1" t="s">
        <v>29</v>
      </c>
      <c r="I148" s="1" t="s">
        <v>32</v>
      </c>
      <c r="J148" s="1" t="s">
        <v>32</v>
      </c>
      <c r="K148" s="1" t="s">
        <v>917</v>
      </c>
      <c r="L148">
        <v>3</v>
      </c>
      <c r="M148">
        <v>0</v>
      </c>
      <c r="N148">
        <v>0</v>
      </c>
      <c r="O148">
        <v>4</v>
      </c>
      <c r="P148">
        <v>3</v>
      </c>
      <c r="Q148">
        <v>0</v>
      </c>
      <c r="R148">
        <v>0</v>
      </c>
      <c r="S148">
        <v>1</v>
      </c>
      <c r="T148">
        <v>1</v>
      </c>
      <c r="U148" s="1" t="s">
        <v>917</v>
      </c>
      <c r="V148" s="1" t="s">
        <v>152</v>
      </c>
      <c r="W148" s="1">
        <f t="shared" si="2"/>
        <v>63.28</v>
      </c>
      <c r="X148" s="1" t="s">
        <v>918</v>
      </c>
      <c r="Y148">
        <v>1</v>
      </c>
      <c r="Z148">
        <v>1</v>
      </c>
      <c r="AA148">
        <v>58</v>
      </c>
    </row>
    <row r="149" spans="1:27" x14ac:dyDescent="0.3">
      <c r="A149" s="1" t="s">
        <v>919</v>
      </c>
      <c r="B149">
        <v>148</v>
      </c>
      <c r="C149" s="1" t="s">
        <v>920</v>
      </c>
      <c r="D149" s="1" t="s">
        <v>921</v>
      </c>
      <c r="E149" s="1" t="s">
        <v>32</v>
      </c>
      <c r="F149" s="1" t="s">
        <v>922</v>
      </c>
      <c r="G149" s="1" t="s">
        <v>923</v>
      </c>
      <c r="H149" s="1" t="s">
        <v>32</v>
      </c>
      <c r="I149" s="1" t="s">
        <v>32</v>
      </c>
      <c r="J149" s="1" t="s">
        <v>74</v>
      </c>
      <c r="K149" s="1" t="s">
        <v>924</v>
      </c>
      <c r="L149">
        <v>3</v>
      </c>
      <c r="M149">
        <v>1</v>
      </c>
      <c r="N149">
        <v>0</v>
      </c>
      <c r="O149">
        <v>5</v>
      </c>
      <c r="P149">
        <v>4</v>
      </c>
      <c r="Q149">
        <v>0</v>
      </c>
      <c r="R149">
        <v>0</v>
      </c>
      <c r="S149">
        <v>1</v>
      </c>
      <c r="T149">
        <v>1</v>
      </c>
      <c r="U149" s="1" t="s">
        <v>925</v>
      </c>
      <c r="V149" s="1" t="s">
        <v>161</v>
      </c>
      <c r="W149" s="1">
        <f t="shared" si="2"/>
        <v>66.67</v>
      </c>
      <c r="X149" s="1">
        <v>1243</v>
      </c>
      <c r="Y149">
        <v>1</v>
      </c>
      <c r="Z149">
        <v>1</v>
      </c>
      <c r="AA149">
        <v>59</v>
      </c>
    </row>
    <row r="150" spans="1:27" x14ac:dyDescent="0.3">
      <c r="A150" s="1" t="s">
        <v>926</v>
      </c>
      <c r="B150">
        <v>149</v>
      </c>
      <c r="C150" s="1" t="s">
        <v>927</v>
      </c>
      <c r="D150" s="1" t="s">
        <v>814</v>
      </c>
      <c r="E150" s="1" t="s">
        <v>29</v>
      </c>
      <c r="F150" s="1" t="s">
        <v>928</v>
      </c>
      <c r="G150" s="1" t="s">
        <v>929</v>
      </c>
      <c r="H150" s="1" t="s">
        <v>41</v>
      </c>
      <c r="I150" s="1" t="s">
        <v>32</v>
      </c>
      <c r="J150" s="1" t="s">
        <v>29</v>
      </c>
      <c r="K150" s="1" t="s">
        <v>930</v>
      </c>
      <c r="L150">
        <v>3</v>
      </c>
      <c r="M150">
        <v>0</v>
      </c>
      <c r="N150">
        <v>0</v>
      </c>
      <c r="O150">
        <v>6</v>
      </c>
      <c r="P150">
        <v>3</v>
      </c>
      <c r="Q150">
        <v>0</v>
      </c>
      <c r="R150">
        <v>0</v>
      </c>
      <c r="S150">
        <v>1</v>
      </c>
      <c r="T150">
        <v>1</v>
      </c>
      <c r="U150" s="1" t="s">
        <v>931</v>
      </c>
      <c r="V150" s="1" t="s">
        <v>169</v>
      </c>
      <c r="W150" s="1">
        <f t="shared" si="2"/>
        <v>270.07</v>
      </c>
      <c r="X150" s="1" t="s">
        <v>932</v>
      </c>
      <c r="Y150">
        <v>1</v>
      </c>
      <c r="Z150">
        <v>1</v>
      </c>
      <c r="AA150">
        <v>60</v>
      </c>
    </row>
    <row r="151" spans="1:27" x14ac:dyDescent="0.3">
      <c r="A151" s="1" t="s">
        <v>933</v>
      </c>
      <c r="B151">
        <v>150</v>
      </c>
      <c r="C151" s="1" t="s">
        <v>934</v>
      </c>
      <c r="D151" s="1" t="s">
        <v>820</v>
      </c>
      <c r="E151" s="1" t="s">
        <v>39</v>
      </c>
      <c r="F151" s="1" t="s">
        <v>703</v>
      </c>
      <c r="G151" s="1" t="s">
        <v>935</v>
      </c>
      <c r="H151" s="1" t="s">
        <v>48</v>
      </c>
      <c r="I151" s="1" t="s">
        <v>32</v>
      </c>
      <c r="J151" s="1" t="s">
        <v>75</v>
      </c>
      <c r="K151" s="1" t="s">
        <v>936</v>
      </c>
      <c r="L151">
        <v>1</v>
      </c>
      <c r="M151">
        <v>2</v>
      </c>
      <c r="N151">
        <v>0</v>
      </c>
      <c r="O151">
        <v>1</v>
      </c>
      <c r="P151">
        <v>3</v>
      </c>
      <c r="Q151">
        <v>0</v>
      </c>
      <c r="R151">
        <v>0</v>
      </c>
      <c r="S151">
        <v>1</v>
      </c>
      <c r="T151">
        <v>1</v>
      </c>
      <c r="U151" s="1" t="s">
        <v>936</v>
      </c>
      <c r="V151" s="1" t="s">
        <v>177</v>
      </c>
      <c r="W151" s="1">
        <f t="shared" si="2"/>
        <v>61.02</v>
      </c>
      <c r="X151" s="1" t="s">
        <v>937</v>
      </c>
      <c r="Y151">
        <v>1</v>
      </c>
      <c r="Z151">
        <v>1</v>
      </c>
      <c r="AA151">
        <v>61</v>
      </c>
    </row>
    <row r="152" spans="1:27" x14ac:dyDescent="0.3">
      <c r="A152" s="1" t="s">
        <v>938</v>
      </c>
      <c r="B152">
        <v>151</v>
      </c>
      <c r="C152" s="1" t="s">
        <v>939</v>
      </c>
      <c r="D152" s="1" t="s">
        <v>940</v>
      </c>
      <c r="E152" s="1" t="s">
        <v>41</v>
      </c>
      <c r="F152" s="1" t="s">
        <v>940</v>
      </c>
      <c r="G152" s="1" t="s">
        <v>941</v>
      </c>
      <c r="H152" s="1" t="s">
        <v>55</v>
      </c>
      <c r="I152" s="1" t="s">
        <v>32</v>
      </c>
      <c r="J152" s="1" t="s">
        <v>41</v>
      </c>
      <c r="K152" s="1" t="s">
        <v>942</v>
      </c>
      <c r="L152">
        <v>1</v>
      </c>
      <c r="M152">
        <v>0</v>
      </c>
      <c r="N152">
        <v>0</v>
      </c>
      <c r="O152">
        <v>2</v>
      </c>
      <c r="P152">
        <v>1</v>
      </c>
      <c r="Q152">
        <v>0</v>
      </c>
      <c r="R152">
        <v>0</v>
      </c>
      <c r="S152">
        <v>1</v>
      </c>
      <c r="T152">
        <v>1</v>
      </c>
      <c r="U152" s="1" t="s">
        <v>943</v>
      </c>
      <c r="V152" s="1" t="s">
        <v>87</v>
      </c>
      <c r="W152" s="1">
        <f t="shared" si="2"/>
        <v>274.58999999999997</v>
      </c>
      <c r="X152" s="1" t="s">
        <v>944</v>
      </c>
      <c r="Y152">
        <v>1</v>
      </c>
      <c r="Z152">
        <v>1</v>
      </c>
      <c r="AA152">
        <v>62</v>
      </c>
    </row>
    <row r="153" spans="1:27" x14ac:dyDescent="0.3">
      <c r="A153" s="1" t="s">
        <v>945</v>
      </c>
      <c r="B153">
        <v>152</v>
      </c>
      <c r="C153" s="1" t="s">
        <v>946</v>
      </c>
      <c r="D153" s="1" t="s">
        <v>947</v>
      </c>
      <c r="E153" s="1" t="s">
        <v>32</v>
      </c>
      <c r="F153" s="1" t="s">
        <v>947</v>
      </c>
      <c r="G153" s="1" t="s">
        <v>124</v>
      </c>
      <c r="H153" s="1" t="s">
        <v>63</v>
      </c>
      <c r="I153" s="1" t="s">
        <v>32</v>
      </c>
      <c r="J153" s="1" t="s">
        <v>32</v>
      </c>
      <c r="K153" s="1" t="s">
        <v>948</v>
      </c>
      <c r="L153">
        <v>1</v>
      </c>
      <c r="M153">
        <v>1</v>
      </c>
      <c r="N153">
        <v>0</v>
      </c>
      <c r="O153">
        <v>3</v>
      </c>
      <c r="P153">
        <v>2</v>
      </c>
      <c r="Q153">
        <v>0</v>
      </c>
      <c r="R153">
        <v>0</v>
      </c>
      <c r="S153">
        <v>1</v>
      </c>
      <c r="T153">
        <v>1</v>
      </c>
      <c r="U153" s="1" t="s">
        <v>949</v>
      </c>
      <c r="V153" s="1" t="s">
        <v>475</v>
      </c>
      <c r="W153" s="1">
        <f t="shared" si="2"/>
        <v>221.71</v>
      </c>
      <c r="X153" s="1" t="s">
        <v>950</v>
      </c>
      <c r="Y153">
        <v>1</v>
      </c>
      <c r="Z153">
        <v>1</v>
      </c>
      <c r="AA153">
        <v>63</v>
      </c>
    </row>
    <row r="154" spans="1:27" x14ac:dyDescent="0.3">
      <c r="A154" s="1" t="s">
        <v>951</v>
      </c>
      <c r="B154">
        <v>153</v>
      </c>
      <c r="C154" s="1" t="s">
        <v>952</v>
      </c>
      <c r="D154" s="1" t="s">
        <v>953</v>
      </c>
      <c r="E154" s="1" t="s">
        <v>29</v>
      </c>
      <c r="F154" s="1" t="s">
        <v>840</v>
      </c>
      <c r="G154" s="1" t="s">
        <v>953</v>
      </c>
      <c r="H154" s="1" t="s">
        <v>74</v>
      </c>
      <c r="I154" s="1" t="s">
        <v>32</v>
      </c>
      <c r="J154" s="1" t="s">
        <v>74</v>
      </c>
      <c r="K154" s="1" t="s">
        <v>954</v>
      </c>
      <c r="L154">
        <v>2</v>
      </c>
      <c r="M154">
        <v>0</v>
      </c>
      <c r="N154">
        <v>0</v>
      </c>
      <c r="O154">
        <v>4</v>
      </c>
      <c r="P154">
        <v>2</v>
      </c>
      <c r="Q154">
        <v>0</v>
      </c>
      <c r="R154">
        <v>0</v>
      </c>
      <c r="S154">
        <v>1</v>
      </c>
      <c r="T154">
        <v>1</v>
      </c>
      <c r="U154" s="1" t="s">
        <v>954</v>
      </c>
      <c r="V154" s="1" t="s">
        <v>482</v>
      </c>
      <c r="W154" s="1">
        <f t="shared" si="2"/>
        <v>69.16</v>
      </c>
      <c r="X154" s="1" t="s">
        <v>955</v>
      </c>
      <c r="Y154">
        <v>1</v>
      </c>
      <c r="Z154">
        <v>1</v>
      </c>
      <c r="AA154">
        <v>64</v>
      </c>
    </row>
    <row r="155" spans="1:27" x14ac:dyDescent="0.3">
      <c r="A155" s="1" t="s">
        <v>956</v>
      </c>
      <c r="B155">
        <v>154</v>
      </c>
      <c r="C155" s="1" t="s">
        <v>957</v>
      </c>
      <c r="D155" s="1" t="s">
        <v>958</v>
      </c>
      <c r="E155" s="1" t="s">
        <v>39</v>
      </c>
      <c r="F155" s="1" t="s">
        <v>958</v>
      </c>
      <c r="G155" s="1" t="s">
        <v>959</v>
      </c>
      <c r="H155" s="1" t="s">
        <v>29</v>
      </c>
      <c r="I155" s="1" t="s">
        <v>32</v>
      </c>
      <c r="J155" s="1" t="s">
        <v>29</v>
      </c>
      <c r="K155" s="1" t="s">
        <v>960</v>
      </c>
      <c r="L155">
        <v>2</v>
      </c>
      <c r="M155">
        <v>0</v>
      </c>
      <c r="N155">
        <v>0</v>
      </c>
      <c r="O155">
        <v>5</v>
      </c>
      <c r="P155">
        <v>2</v>
      </c>
      <c r="Q155">
        <v>0</v>
      </c>
      <c r="R155">
        <v>0</v>
      </c>
      <c r="S155">
        <v>1</v>
      </c>
      <c r="T155">
        <v>1</v>
      </c>
      <c r="U155" s="1" t="s">
        <v>961</v>
      </c>
      <c r="V155" s="1" t="s">
        <v>111</v>
      </c>
      <c r="W155" s="1">
        <f t="shared" si="2"/>
        <v>80.229999999999905</v>
      </c>
      <c r="X155" s="1">
        <v>1130</v>
      </c>
      <c r="Y155">
        <v>1</v>
      </c>
      <c r="Z155">
        <v>1</v>
      </c>
      <c r="AA155">
        <v>65</v>
      </c>
    </row>
    <row r="156" spans="1:27" x14ac:dyDescent="0.3">
      <c r="A156" s="1" t="s">
        <v>962</v>
      </c>
      <c r="B156">
        <v>155</v>
      </c>
      <c r="C156" s="1" t="s">
        <v>963</v>
      </c>
      <c r="D156" s="1" t="s">
        <v>851</v>
      </c>
      <c r="E156" s="1" t="s">
        <v>41</v>
      </c>
      <c r="F156" s="1" t="s">
        <v>964</v>
      </c>
      <c r="G156" s="1" t="s">
        <v>149</v>
      </c>
      <c r="H156" s="1" t="s">
        <v>32</v>
      </c>
      <c r="I156" s="1" t="s">
        <v>32</v>
      </c>
      <c r="J156" s="1" t="s">
        <v>75</v>
      </c>
      <c r="K156" s="1" t="s">
        <v>965</v>
      </c>
      <c r="L156">
        <v>2</v>
      </c>
      <c r="M156">
        <v>0</v>
      </c>
      <c r="N156">
        <v>0</v>
      </c>
      <c r="O156">
        <v>6</v>
      </c>
      <c r="P156">
        <v>2</v>
      </c>
      <c r="Q156">
        <v>0</v>
      </c>
      <c r="R156">
        <v>0</v>
      </c>
      <c r="S156">
        <v>1</v>
      </c>
      <c r="T156">
        <v>1</v>
      </c>
      <c r="U156" s="1" t="s">
        <v>966</v>
      </c>
      <c r="V156" s="1" t="s">
        <v>169</v>
      </c>
      <c r="W156" s="1">
        <f t="shared" si="2"/>
        <v>270.07</v>
      </c>
      <c r="X156" s="1" t="s">
        <v>967</v>
      </c>
      <c r="Y156">
        <v>1</v>
      </c>
      <c r="Z156">
        <v>1</v>
      </c>
      <c r="AA156">
        <v>66</v>
      </c>
    </row>
    <row r="157" spans="1:27" x14ac:dyDescent="0.3">
      <c r="A157" s="1" t="s">
        <v>968</v>
      </c>
      <c r="B157">
        <v>156</v>
      </c>
      <c r="C157" s="1" t="s">
        <v>969</v>
      </c>
      <c r="D157" s="1" t="s">
        <v>970</v>
      </c>
      <c r="E157" s="1" t="s">
        <v>32</v>
      </c>
      <c r="F157" s="1" t="s">
        <v>856</v>
      </c>
      <c r="G157" s="1" t="s">
        <v>971</v>
      </c>
      <c r="H157" s="1" t="s">
        <v>41</v>
      </c>
      <c r="I157" s="1" t="s">
        <v>32</v>
      </c>
      <c r="J157" s="1" t="s">
        <v>41</v>
      </c>
      <c r="K157" s="1" t="s">
        <v>972</v>
      </c>
      <c r="L157">
        <v>3</v>
      </c>
      <c r="M157">
        <v>2</v>
      </c>
      <c r="N157">
        <v>1</v>
      </c>
      <c r="O157">
        <v>1</v>
      </c>
      <c r="P157">
        <v>6</v>
      </c>
      <c r="Q157">
        <v>0</v>
      </c>
      <c r="R157">
        <v>0</v>
      </c>
      <c r="S157">
        <v>1</v>
      </c>
      <c r="T157">
        <v>1</v>
      </c>
      <c r="U157" s="1" t="s">
        <v>972</v>
      </c>
      <c r="V157" s="1" t="s">
        <v>127</v>
      </c>
      <c r="W157" s="1">
        <f t="shared" si="2"/>
        <v>47.46</v>
      </c>
      <c r="X157" s="1" t="s">
        <v>973</v>
      </c>
      <c r="Y157">
        <v>1</v>
      </c>
      <c r="Z157">
        <v>1</v>
      </c>
      <c r="AA157">
        <v>67</v>
      </c>
    </row>
    <row r="158" spans="1:27" x14ac:dyDescent="0.3">
      <c r="A158" s="1" t="s">
        <v>974</v>
      </c>
      <c r="B158">
        <v>157</v>
      </c>
      <c r="C158" s="1" t="s">
        <v>975</v>
      </c>
      <c r="D158" s="1" t="s">
        <v>862</v>
      </c>
      <c r="E158" s="1" t="s">
        <v>29</v>
      </c>
      <c r="F158" s="1" t="s">
        <v>976</v>
      </c>
      <c r="G158" s="1" t="s">
        <v>164</v>
      </c>
      <c r="H158" s="1" t="s">
        <v>48</v>
      </c>
      <c r="I158" s="1" t="s">
        <v>32</v>
      </c>
      <c r="J158" s="1" t="s">
        <v>32</v>
      </c>
      <c r="K158" s="1" t="s">
        <v>977</v>
      </c>
      <c r="L158">
        <v>3</v>
      </c>
      <c r="M158">
        <v>0</v>
      </c>
      <c r="N158">
        <v>0</v>
      </c>
      <c r="O158">
        <v>2</v>
      </c>
      <c r="P158">
        <v>3</v>
      </c>
      <c r="Q158">
        <v>0</v>
      </c>
      <c r="R158">
        <v>0</v>
      </c>
      <c r="S158">
        <v>1</v>
      </c>
      <c r="T158">
        <v>1</v>
      </c>
      <c r="U158" s="1" t="s">
        <v>978</v>
      </c>
      <c r="V158" s="1" t="s">
        <v>288</v>
      </c>
      <c r="W158" s="1">
        <f t="shared" si="2"/>
        <v>301.70999999999998</v>
      </c>
      <c r="X158" s="1" t="s">
        <v>979</v>
      </c>
      <c r="Y158">
        <v>1</v>
      </c>
      <c r="Z158">
        <v>1</v>
      </c>
      <c r="AA158">
        <v>68</v>
      </c>
    </row>
    <row r="159" spans="1:27" x14ac:dyDescent="0.3">
      <c r="A159" s="1" t="s">
        <v>980</v>
      </c>
      <c r="B159">
        <v>158</v>
      </c>
      <c r="C159" s="1" t="s">
        <v>981</v>
      </c>
      <c r="D159" s="1" t="s">
        <v>868</v>
      </c>
      <c r="E159" s="1" t="s">
        <v>39</v>
      </c>
      <c r="F159" s="1" t="s">
        <v>754</v>
      </c>
      <c r="G159" s="1" t="s">
        <v>173</v>
      </c>
      <c r="H159" s="1" t="s">
        <v>55</v>
      </c>
      <c r="I159" s="1" t="s">
        <v>32</v>
      </c>
      <c r="J159" s="1" t="s">
        <v>74</v>
      </c>
      <c r="K159" s="1" t="s">
        <v>982</v>
      </c>
      <c r="L159">
        <v>3</v>
      </c>
      <c r="M159">
        <v>0</v>
      </c>
      <c r="N159">
        <v>0</v>
      </c>
      <c r="O159">
        <v>3</v>
      </c>
      <c r="P159">
        <v>3</v>
      </c>
      <c r="Q159">
        <v>0</v>
      </c>
      <c r="R159">
        <v>0</v>
      </c>
      <c r="S159">
        <v>1</v>
      </c>
      <c r="T159">
        <v>1</v>
      </c>
      <c r="U159" s="1" t="s">
        <v>983</v>
      </c>
      <c r="V159" s="1" t="s">
        <v>509</v>
      </c>
      <c r="W159" s="1">
        <f t="shared" si="2"/>
        <v>197.85999999999899</v>
      </c>
      <c r="X159" s="1">
        <v>678</v>
      </c>
      <c r="Y159">
        <v>1</v>
      </c>
      <c r="Z159">
        <v>1</v>
      </c>
      <c r="AA159">
        <v>69</v>
      </c>
    </row>
    <row r="160" spans="1:27" x14ac:dyDescent="0.3">
      <c r="A160" s="1" t="s">
        <v>984</v>
      </c>
      <c r="B160">
        <v>159</v>
      </c>
      <c r="C160" s="1" t="s">
        <v>985</v>
      </c>
      <c r="D160" s="1" t="s">
        <v>986</v>
      </c>
      <c r="E160" s="1" t="s">
        <v>41</v>
      </c>
      <c r="F160" s="1" t="s">
        <v>873</v>
      </c>
      <c r="G160" s="1" t="s">
        <v>987</v>
      </c>
      <c r="H160" s="1" t="s">
        <v>63</v>
      </c>
      <c r="I160" s="1" t="s">
        <v>32</v>
      </c>
      <c r="J160" s="1" t="s">
        <v>29</v>
      </c>
      <c r="K160" s="1" t="s">
        <v>917</v>
      </c>
      <c r="L160">
        <v>3</v>
      </c>
      <c r="M160">
        <v>0</v>
      </c>
      <c r="N160">
        <v>0</v>
      </c>
      <c r="O160">
        <v>4</v>
      </c>
      <c r="P160">
        <v>3</v>
      </c>
      <c r="Q160">
        <v>0</v>
      </c>
      <c r="R160">
        <v>0</v>
      </c>
      <c r="S160">
        <v>1</v>
      </c>
      <c r="T160">
        <v>1</v>
      </c>
      <c r="U160" s="1" t="s">
        <v>917</v>
      </c>
      <c r="V160" s="1" t="s">
        <v>152</v>
      </c>
      <c r="W160" s="1">
        <f t="shared" si="2"/>
        <v>63.28</v>
      </c>
      <c r="X160" s="1" t="s">
        <v>918</v>
      </c>
      <c r="Y160">
        <v>1</v>
      </c>
      <c r="Z160">
        <v>1</v>
      </c>
      <c r="AA160">
        <v>70</v>
      </c>
    </row>
    <row r="161" spans="1:27" x14ac:dyDescent="0.3">
      <c r="A161" s="1" t="s">
        <v>988</v>
      </c>
      <c r="B161">
        <v>160</v>
      </c>
      <c r="C161" s="1" t="s">
        <v>989</v>
      </c>
      <c r="D161" s="1" t="s">
        <v>990</v>
      </c>
      <c r="E161" s="1" t="s">
        <v>32</v>
      </c>
      <c r="F161" s="1" t="s">
        <v>990</v>
      </c>
      <c r="G161" s="1" t="s">
        <v>990</v>
      </c>
      <c r="H161" s="1" t="s">
        <v>74</v>
      </c>
      <c r="I161" s="1" t="s">
        <v>32</v>
      </c>
      <c r="J161" s="1" t="s">
        <v>75</v>
      </c>
      <c r="K161" s="1" t="s">
        <v>991</v>
      </c>
      <c r="L161">
        <v>1</v>
      </c>
      <c r="M161">
        <v>1</v>
      </c>
      <c r="N161">
        <v>0</v>
      </c>
      <c r="O161">
        <v>5</v>
      </c>
      <c r="P161">
        <v>2</v>
      </c>
      <c r="Q161">
        <v>0</v>
      </c>
      <c r="R161">
        <v>0</v>
      </c>
      <c r="S161">
        <v>1</v>
      </c>
      <c r="T161">
        <v>1</v>
      </c>
      <c r="U161" s="1" t="s">
        <v>992</v>
      </c>
      <c r="V161" s="1" t="s">
        <v>520</v>
      </c>
      <c r="W161" s="1">
        <f t="shared" si="2"/>
        <v>62.26</v>
      </c>
      <c r="X161" s="1" t="s">
        <v>993</v>
      </c>
      <c r="Y161">
        <v>1</v>
      </c>
      <c r="Z161">
        <v>1</v>
      </c>
      <c r="AA161">
        <v>71</v>
      </c>
    </row>
    <row r="162" spans="1:27" x14ac:dyDescent="0.3">
      <c r="A162" s="1" t="s">
        <v>994</v>
      </c>
      <c r="B162">
        <v>161</v>
      </c>
      <c r="C162" s="1" t="s">
        <v>995</v>
      </c>
      <c r="D162" s="1" t="s">
        <v>887</v>
      </c>
      <c r="E162" s="1" t="s">
        <v>29</v>
      </c>
      <c r="F162" s="1" t="s">
        <v>996</v>
      </c>
      <c r="G162" s="1" t="s">
        <v>31</v>
      </c>
      <c r="H162" s="1" t="s">
        <v>29</v>
      </c>
      <c r="I162" s="1" t="s">
        <v>33</v>
      </c>
      <c r="J162" s="1" t="s">
        <v>33</v>
      </c>
      <c r="K162" s="1" t="s">
        <v>34</v>
      </c>
      <c r="L162">
        <v>1</v>
      </c>
      <c r="M162">
        <v>0</v>
      </c>
      <c r="N162">
        <v>0</v>
      </c>
      <c r="O162">
        <v>6</v>
      </c>
      <c r="P162">
        <v>1</v>
      </c>
      <c r="Q162">
        <v>1</v>
      </c>
      <c r="R162">
        <v>0</v>
      </c>
      <c r="S162">
        <v>0</v>
      </c>
      <c r="T162">
        <v>0</v>
      </c>
      <c r="U162" s="1" t="s">
        <v>170</v>
      </c>
      <c r="V162" s="1">
        <v>0</v>
      </c>
      <c r="W162" s="1">
        <f t="shared" si="2"/>
        <v>0</v>
      </c>
      <c r="X162" s="1" t="s">
        <v>170</v>
      </c>
      <c r="Y162">
        <v>1</v>
      </c>
      <c r="Z162">
        <v>0</v>
      </c>
      <c r="AA162">
        <v>72</v>
      </c>
    </row>
    <row r="163" spans="1:27" x14ac:dyDescent="0.3">
      <c r="A163" s="1" t="s">
        <v>997</v>
      </c>
      <c r="B163">
        <v>162</v>
      </c>
      <c r="C163" s="1" t="s">
        <v>998</v>
      </c>
      <c r="D163" s="1" t="s">
        <v>999</v>
      </c>
      <c r="E163" s="1" t="s">
        <v>39</v>
      </c>
      <c r="F163" s="1" t="s">
        <v>1000</v>
      </c>
      <c r="G163" s="1" t="s">
        <v>40</v>
      </c>
      <c r="H163" s="1" t="s">
        <v>32</v>
      </c>
      <c r="I163" s="1" t="s">
        <v>33</v>
      </c>
      <c r="J163" s="1" t="s">
        <v>33</v>
      </c>
      <c r="K163" s="1" t="s">
        <v>34</v>
      </c>
      <c r="L163">
        <v>1</v>
      </c>
      <c r="M163">
        <v>2</v>
      </c>
      <c r="N163">
        <v>0</v>
      </c>
      <c r="O163">
        <v>1</v>
      </c>
      <c r="P163">
        <v>3</v>
      </c>
      <c r="Q163">
        <v>1</v>
      </c>
      <c r="R163">
        <v>0</v>
      </c>
      <c r="S163">
        <v>0</v>
      </c>
      <c r="T163">
        <v>0</v>
      </c>
      <c r="U163" s="1" t="s">
        <v>1001</v>
      </c>
      <c r="V163" s="1">
        <v>0</v>
      </c>
      <c r="W163" s="1">
        <f t="shared" si="2"/>
        <v>0</v>
      </c>
      <c r="X163" s="1" t="s">
        <v>1001</v>
      </c>
      <c r="Y163">
        <v>1</v>
      </c>
      <c r="Z163">
        <v>0</v>
      </c>
      <c r="AA163">
        <v>73</v>
      </c>
    </row>
    <row r="164" spans="1:27" x14ac:dyDescent="0.3">
      <c r="A164" s="1" t="s">
        <v>1002</v>
      </c>
      <c r="B164">
        <v>163</v>
      </c>
      <c r="C164" s="1" t="s">
        <v>1003</v>
      </c>
      <c r="D164" s="1" t="s">
        <v>47</v>
      </c>
      <c r="E164" s="1" t="s">
        <v>41</v>
      </c>
      <c r="F164" s="1" t="s">
        <v>780</v>
      </c>
      <c r="G164" s="1" t="s">
        <v>47</v>
      </c>
      <c r="H164" s="1" t="s">
        <v>41</v>
      </c>
      <c r="I164" s="1" t="s">
        <v>33</v>
      </c>
      <c r="J164" s="1" t="s">
        <v>33</v>
      </c>
      <c r="K164" s="1" t="s">
        <v>34</v>
      </c>
      <c r="L164">
        <v>2</v>
      </c>
      <c r="M164">
        <v>0</v>
      </c>
      <c r="N164">
        <v>0</v>
      </c>
      <c r="O164">
        <v>2</v>
      </c>
      <c r="P164">
        <v>2</v>
      </c>
      <c r="Q164">
        <v>1</v>
      </c>
      <c r="R164">
        <v>0</v>
      </c>
      <c r="S164">
        <v>0</v>
      </c>
      <c r="T164">
        <v>0</v>
      </c>
      <c r="U164" s="1" t="s">
        <v>1004</v>
      </c>
      <c r="V164" s="1">
        <v>0</v>
      </c>
      <c r="W164" s="1">
        <f t="shared" si="2"/>
        <v>0</v>
      </c>
      <c r="X164" s="1" t="s">
        <v>1004</v>
      </c>
      <c r="Y164">
        <v>1</v>
      </c>
      <c r="Z164">
        <v>0</v>
      </c>
      <c r="AA164">
        <v>74</v>
      </c>
    </row>
    <row r="165" spans="1:27" x14ac:dyDescent="0.3">
      <c r="A165" s="1" t="s">
        <v>1005</v>
      </c>
      <c r="B165">
        <v>164</v>
      </c>
      <c r="C165" s="1" t="s">
        <v>1006</v>
      </c>
      <c r="D165" s="1" t="s">
        <v>1007</v>
      </c>
      <c r="E165" s="1" t="s">
        <v>32</v>
      </c>
      <c r="F165" s="1" t="s">
        <v>1007</v>
      </c>
      <c r="G165" s="1" t="s">
        <v>54</v>
      </c>
      <c r="H165" s="1" t="s">
        <v>48</v>
      </c>
      <c r="I165" s="1" t="s">
        <v>56</v>
      </c>
      <c r="J165" s="1" t="s">
        <v>33</v>
      </c>
      <c r="K165" s="1" t="s">
        <v>34</v>
      </c>
      <c r="L165">
        <v>2</v>
      </c>
      <c r="M165">
        <v>1</v>
      </c>
      <c r="N165">
        <v>0</v>
      </c>
      <c r="O165">
        <v>3</v>
      </c>
      <c r="P165">
        <v>3</v>
      </c>
      <c r="Q165">
        <v>0</v>
      </c>
      <c r="R165">
        <v>1</v>
      </c>
      <c r="S165">
        <v>0</v>
      </c>
      <c r="T165">
        <v>0</v>
      </c>
      <c r="U165" s="1" t="s">
        <v>1008</v>
      </c>
      <c r="V165" s="1">
        <v>0</v>
      </c>
      <c r="W165" s="1">
        <f t="shared" si="2"/>
        <v>0</v>
      </c>
      <c r="X165" s="1" t="s">
        <v>1008</v>
      </c>
      <c r="Y165">
        <v>1</v>
      </c>
      <c r="Z165">
        <v>0</v>
      </c>
      <c r="AA165">
        <v>75</v>
      </c>
    </row>
    <row r="166" spans="1:27" x14ac:dyDescent="0.3">
      <c r="A166" s="1" t="s">
        <v>1009</v>
      </c>
      <c r="B166">
        <v>165</v>
      </c>
      <c r="C166" s="1" t="s">
        <v>1010</v>
      </c>
      <c r="D166" s="1" t="s">
        <v>1011</v>
      </c>
      <c r="E166" s="1" t="s">
        <v>29</v>
      </c>
      <c r="F166" s="1" t="s">
        <v>1012</v>
      </c>
      <c r="G166" s="1" t="s">
        <v>62</v>
      </c>
      <c r="H166" s="1" t="s">
        <v>55</v>
      </c>
      <c r="I166" s="1" t="s">
        <v>64</v>
      </c>
      <c r="J166" s="1" t="s">
        <v>32</v>
      </c>
      <c r="K166" s="1" t="s">
        <v>1013</v>
      </c>
      <c r="L166">
        <v>2</v>
      </c>
      <c r="M166">
        <v>0</v>
      </c>
      <c r="N166">
        <v>0</v>
      </c>
      <c r="O166">
        <v>4</v>
      </c>
      <c r="P166">
        <v>2</v>
      </c>
      <c r="Q166">
        <v>0</v>
      </c>
      <c r="R166">
        <v>0</v>
      </c>
      <c r="S166">
        <v>0</v>
      </c>
      <c r="T166">
        <v>0</v>
      </c>
      <c r="U166" s="1" t="s">
        <v>1014</v>
      </c>
      <c r="V166" s="1" t="s">
        <v>104</v>
      </c>
      <c r="W166" s="1">
        <f t="shared" si="2"/>
        <v>76.84</v>
      </c>
      <c r="X166" s="1" t="s">
        <v>1015</v>
      </c>
      <c r="Y166">
        <v>1</v>
      </c>
      <c r="Z166">
        <v>0</v>
      </c>
      <c r="AA166">
        <v>76</v>
      </c>
    </row>
    <row r="167" spans="1:27" x14ac:dyDescent="0.3">
      <c r="A167" s="1" t="s">
        <v>1016</v>
      </c>
      <c r="B167">
        <v>166</v>
      </c>
      <c r="C167" s="1" t="s">
        <v>1017</v>
      </c>
      <c r="D167" s="1" t="s">
        <v>1018</v>
      </c>
      <c r="E167" s="1" t="s">
        <v>39</v>
      </c>
      <c r="F167" s="1" t="s">
        <v>909</v>
      </c>
      <c r="G167" s="1" t="s">
        <v>73</v>
      </c>
      <c r="H167" s="1" t="s">
        <v>63</v>
      </c>
      <c r="I167" s="1" t="s">
        <v>64</v>
      </c>
      <c r="J167" s="1" t="s">
        <v>74</v>
      </c>
      <c r="K167" s="1" t="s">
        <v>1019</v>
      </c>
      <c r="L167">
        <v>3</v>
      </c>
      <c r="M167">
        <v>0</v>
      </c>
      <c r="N167">
        <v>0</v>
      </c>
      <c r="O167">
        <v>5</v>
      </c>
      <c r="P167">
        <v>3</v>
      </c>
      <c r="Q167">
        <v>0</v>
      </c>
      <c r="R167">
        <v>0</v>
      </c>
      <c r="S167">
        <v>0</v>
      </c>
      <c r="T167">
        <v>0</v>
      </c>
      <c r="U167" s="1" t="s">
        <v>1020</v>
      </c>
      <c r="V167" s="1" t="s">
        <v>304</v>
      </c>
      <c r="W167" s="1">
        <f t="shared" si="2"/>
        <v>64.41</v>
      </c>
      <c r="X167" s="1" t="s">
        <v>204</v>
      </c>
      <c r="Y167">
        <v>1</v>
      </c>
      <c r="Z167">
        <v>0</v>
      </c>
      <c r="AA167">
        <v>77</v>
      </c>
    </row>
    <row r="168" spans="1:27" x14ac:dyDescent="0.3">
      <c r="A168" s="1" t="s">
        <v>1021</v>
      </c>
      <c r="B168">
        <v>167</v>
      </c>
      <c r="C168" s="1" t="s">
        <v>1022</v>
      </c>
      <c r="D168" s="1" t="s">
        <v>1023</v>
      </c>
      <c r="E168" s="1" t="s">
        <v>41</v>
      </c>
      <c r="F168" s="1" t="s">
        <v>1024</v>
      </c>
      <c r="G168" s="1" t="s">
        <v>84</v>
      </c>
      <c r="H168" s="1" t="s">
        <v>74</v>
      </c>
      <c r="I168" s="1" t="s">
        <v>32</v>
      </c>
      <c r="J168" s="1" t="s">
        <v>74</v>
      </c>
      <c r="K168" s="1" t="s">
        <v>1025</v>
      </c>
      <c r="L168">
        <v>3</v>
      </c>
      <c r="M168">
        <v>0</v>
      </c>
      <c r="N168">
        <v>0</v>
      </c>
      <c r="O168">
        <v>6</v>
      </c>
      <c r="P168">
        <v>3</v>
      </c>
      <c r="Q168">
        <v>0</v>
      </c>
      <c r="R168">
        <v>0</v>
      </c>
      <c r="S168">
        <v>1</v>
      </c>
      <c r="T168">
        <v>1</v>
      </c>
      <c r="U168" s="1" t="s">
        <v>1026</v>
      </c>
      <c r="V168" s="1" t="s">
        <v>1027</v>
      </c>
      <c r="W168" s="1">
        <f t="shared" si="2"/>
        <v>268.49</v>
      </c>
      <c r="X168" s="1" t="s">
        <v>121</v>
      </c>
      <c r="Y168">
        <v>1</v>
      </c>
      <c r="Z168">
        <v>1</v>
      </c>
      <c r="AA168">
        <v>78</v>
      </c>
    </row>
    <row r="169" spans="1:27" x14ac:dyDescent="0.3">
      <c r="A169" s="1" t="s">
        <v>1028</v>
      </c>
      <c r="B169">
        <v>168</v>
      </c>
      <c r="C169" s="1" t="s">
        <v>1029</v>
      </c>
      <c r="D169" s="1" t="s">
        <v>1030</v>
      </c>
      <c r="E169" s="1" t="s">
        <v>32</v>
      </c>
      <c r="F169" s="1" t="s">
        <v>921</v>
      </c>
      <c r="G169" s="1" t="s">
        <v>93</v>
      </c>
      <c r="H169" s="1" t="s">
        <v>29</v>
      </c>
      <c r="I169" s="1" t="s">
        <v>32</v>
      </c>
      <c r="J169" s="1" t="s">
        <v>29</v>
      </c>
      <c r="K169" s="1" t="s">
        <v>126</v>
      </c>
      <c r="L169">
        <v>3</v>
      </c>
      <c r="M169">
        <v>2</v>
      </c>
      <c r="N169">
        <v>1</v>
      </c>
      <c r="O169">
        <v>1</v>
      </c>
      <c r="P169">
        <v>6</v>
      </c>
      <c r="Q169">
        <v>0</v>
      </c>
      <c r="R169">
        <v>0</v>
      </c>
      <c r="S169">
        <v>1</v>
      </c>
      <c r="T169">
        <v>1</v>
      </c>
      <c r="U169" s="1" t="s">
        <v>126</v>
      </c>
      <c r="V169" s="1" t="s">
        <v>127</v>
      </c>
      <c r="W169" s="1">
        <f t="shared" si="2"/>
        <v>47.46</v>
      </c>
      <c r="X169" s="1" t="s">
        <v>128</v>
      </c>
      <c r="Y169">
        <v>1</v>
      </c>
      <c r="Z169">
        <v>1</v>
      </c>
      <c r="AA169">
        <v>79</v>
      </c>
    </row>
    <row r="170" spans="1:27" x14ac:dyDescent="0.3">
      <c r="A170" s="1" t="s">
        <v>1031</v>
      </c>
      <c r="B170">
        <v>169</v>
      </c>
      <c r="C170" s="1" t="s">
        <v>1032</v>
      </c>
      <c r="D170" s="1" t="s">
        <v>1033</v>
      </c>
      <c r="E170" s="1" t="s">
        <v>29</v>
      </c>
      <c r="F170" s="1" t="s">
        <v>814</v>
      </c>
      <c r="G170" s="1" t="s">
        <v>102</v>
      </c>
      <c r="H170" s="1" t="s">
        <v>32</v>
      </c>
      <c r="I170" s="1" t="s">
        <v>32</v>
      </c>
      <c r="J170" s="1" t="s">
        <v>75</v>
      </c>
      <c r="K170" s="1" t="s">
        <v>286</v>
      </c>
      <c r="L170">
        <v>3</v>
      </c>
      <c r="M170">
        <v>0</v>
      </c>
      <c r="N170">
        <v>0</v>
      </c>
      <c r="O170">
        <v>2</v>
      </c>
      <c r="P170">
        <v>3</v>
      </c>
      <c r="Q170">
        <v>0</v>
      </c>
      <c r="R170">
        <v>0</v>
      </c>
      <c r="S170">
        <v>1</v>
      </c>
      <c r="T170">
        <v>1</v>
      </c>
      <c r="U170" s="1" t="s">
        <v>287</v>
      </c>
      <c r="V170" s="1" t="s">
        <v>288</v>
      </c>
      <c r="W170" s="1">
        <f t="shared" si="2"/>
        <v>301.70999999999998</v>
      </c>
      <c r="X170" s="1" t="s">
        <v>289</v>
      </c>
      <c r="Y170">
        <v>1</v>
      </c>
      <c r="Z170">
        <v>1</v>
      </c>
      <c r="AA170">
        <v>80</v>
      </c>
    </row>
    <row r="171" spans="1:27" x14ac:dyDescent="0.3">
      <c r="A171" s="1" t="s">
        <v>1034</v>
      </c>
      <c r="B171">
        <v>170</v>
      </c>
      <c r="C171" s="1" t="s">
        <v>1035</v>
      </c>
      <c r="D171" s="1" t="s">
        <v>1036</v>
      </c>
      <c r="E171" s="1" t="s">
        <v>39</v>
      </c>
      <c r="F171" s="1" t="s">
        <v>820</v>
      </c>
      <c r="G171" s="1" t="s">
        <v>108</v>
      </c>
      <c r="H171" s="1" t="s">
        <v>41</v>
      </c>
      <c r="I171" s="1" t="s">
        <v>32</v>
      </c>
      <c r="J171" s="1" t="s">
        <v>41</v>
      </c>
      <c r="K171" s="1" t="s">
        <v>1037</v>
      </c>
      <c r="L171">
        <v>1</v>
      </c>
      <c r="M171">
        <v>0</v>
      </c>
      <c r="N171">
        <v>0</v>
      </c>
      <c r="O171">
        <v>3</v>
      </c>
      <c r="P171">
        <v>1</v>
      </c>
      <c r="Q171">
        <v>0</v>
      </c>
      <c r="R171">
        <v>0</v>
      </c>
      <c r="S171">
        <v>1</v>
      </c>
      <c r="T171">
        <v>1</v>
      </c>
      <c r="U171" s="1" t="s">
        <v>1038</v>
      </c>
      <c r="V171" s="1" t="s">
        <v>144</v>
      </c>
      <c r="W171" s="1">
        <f t="shared" si="2"/>
        <v>202.26999999999899</v>
      </c>
      <c r="X171" s="1" t="s">
        <v>1039</v>
      </c>
      <c r="Y171">
        <v>1</v>
      </c>
      <c r="Z171">
        <v>1</v>
      </c>
      <c r="AA171">
        <v>81</v>
      </c>
    </row>
    <row r="172" spans="1:27" x14ac:dyDescent="0.3">
      <c r="A172" s="1" t="s">
        <v>1040</v>
      </c>
      <c r="B172">
        <v>171</v>
      </c>
      <c r="C172" s="1" t="s">
        <v>1041</v>
      </c>
      <c r="D172" s="1" t="s">
        <v>941</v>
      </c>
      <c r="E172" s="1" t="s">
        <v>41</v>
      </c>
      <c r="F172" s="1" t="s">
        <v>1042</v>
      </c>
      <c r="G172" s="1" t="s">
        <v>117</v>
      </c>
      <c r="H172" s="1" t="s">
        <v>48</v>
      </c>
      <c r="I172" s="1" t="s">
        <v>32</v>
      </c>
      <c r="J172" s="1" t="s">
        <v>32</v>
      </c>
      <c r="K172" s="1" t="s">
        <v>263</v>
      </c>
      <c r="L172">
        <v>1</v>
      </c>
      <c r="M172">
        <v>0</v>
      </c>
      <c r="N172">
        <v>0</v>
      </c>
      <c r="O172">
        <v>4</v>
      </c>
      <c r="P172">
        <v>1</v>
      </c>
      <c r="Q172">
        <v>0</v>
      </c>
      <c r="R172">
        <v>0</v>
      </c>
      <c r="S172">
        <v>1</v>
      </c>
      <c r="T172">
        <v>1</v>
      </c>
      <c r="U172" s="1" t="s">
        <v>263</v>
      </c>
      <c r="V172" s="1" t="s">
        <v>152</v>
      </c>
      <c r="W172" s="1">
        <f t="shared" si="2"/>
        <v>63.28</v>
      </c>
      <c r="X172" s="1" t="s">
        <v>233</v>
      </c>
      <c r="Y172">
        <v>1</v>
      </c>
      <c r="Z172">
        <v>1</v>
      </c>
      <c r="AA172">
        <v>82</v>
      </c>
    </row>
    <row r="173" spans="1:27" x14ac:dyDescent="0.3">
      <c r="A173" s="1" t="s">
        <v>1043</v>
      </c>
      <c r="B173">
        <v>172</v>
      </c>
      <c r="C173" s="1" t="s">
        <v>1044</v>
      </c>
      <c r="D173" s="1" t="s">
        <v>1045</v>
      </c>
      <c r="E173" s="1" t="s">
        <v>32</v>
      </c>
      <c r="F173" s="1" t="s">
        <v>1045</v>
      </c>
      <c r="G173" s="1" t="s">
        <v>32</v>
      </c>
      <c r="H173" s="1" t="s">
        <v>55</v>
      </c>
      <c r="I173" s="1" t="s">
        <v>32</v>
      </c>
      <c r="J173" s="1" t="s">
        <v>74</v>
      </c>
      <c r="K173" s="1" t="s">
        <v>159</v>
      </c>
      <c r="L173">
        <v>1</v>
      </c>
      <c r="M173">
        <v>1</v>
      </c>
      <c r="N173">
        <v>0</v>
      </c>
      <c r="O173">
        <v>5</v>
      </c>
      <c r="P173">
        <v>2</v>
      </c>
      <c r="Q173">
        <v>0</v>
      </c>
      <c r="R173">
        <v>0</v>
      </c>
      <c r="S173">
        <v>1</v>
      </c>
      <c r="T173">
        <v>1</v>
      </c>
      <c r="U173" s="1" t="s">
        <v>160</v>
      </c>
      <c r="V173" s="1" t="s">
        <v>161</v>
      </c>
      <c r="W173" s="1">
        <f t="shared" si="2"/>
        <v>66.67</v>
      </c>
      <c r="X173" s="1" t="s">
        <v>57</v>
      </c>
      <c r="Y173">
        <v>1</v>
      </c>
      <c r="Z173">
        <v>1</v>
      </c>
      <c r="AA173">
        <v>83</v>
      </c>
    </row>
    <row r="174" spans="1:27" x14ac:dyDescent="0.3">
      <c r="A174" s="1" t="s">
        <v>1046</v>
      </c>
      <c r="B174">
        <v>173</v>
      </c>
      <c r="C174" s="1" t="s">
        <v>1047</v>
      </c>
      <c r="D174" s="1" t="s">
        <v>132</v>
      </c>
      <c r="E174" s="1" t="s">
        <v>29</v>
      </c>
      <c r="F174" s="1" t="s">
        <v>132</v>
      </c>
      <c r="G174" s="1" t="s">
        <v>132</v>
      </c>
      <c r="H174" s="1" t="s">
        <v>63</v>
      </c>
      <c r="I174" s="1" t="s">
        <v>32</v>
      </c>
      <c r="J174" s="1" t="s">
        <v>29</v>
      </c>
      <c r="K174" s="1" t="s">
        <v>1048</v>
      </c>
      <c r="L174">
        <v>2</v>
      </c>
      <c r="M174">
        <v>0</v>
      </c>
      <c r="N174">
        <v>0</v>
      </c>
      <c r="O174">
        <v>6</v>
      </c>
      <c r="P174">
        <v>2</v>
      </c>
      <c r="Q174">
        <v>0</v>
      </c>
      <c r="R174">
        <v>0</v>
      </c>
      <c r="S174">
        <v>1</v>
      </c>
      <c r="T174">
        <v>1</v>
      </c>
      <c r="U174" s="1" t="s">
        <v>1049</v>
      </c>
      <c r="V174" s="1" t="s">
        <v>588</v>
      </c>
      <c r="W174" s="1">
        <f t="shared" si="2"/>
        <v>263.97000000000003</v>
      </c>
      <c r="X174" s="1" t="s">
        <v>1050</v>
      </c>
      <c r="Y174">
        <v>1</v>
      </c>
      <c r="Z174">
        <v>1</v>
      </c>
      <c r="AA174">
        <v>84</v>
      </c>
    </row>
    <row r="175" spans="1:27" x14ac:dyDescent="0.3">
      <c r="A175" s="1" t="s">
        <v>1051</v>
      </c>
      <c r="B175">
        <v>174</v>
      </c>
      <c r="C175" s="1" t="s">
        <v>1052</v>
      </c>
      <c r="D175" s="1" t="s">
        <v>959</v>
      </c>
      <c r="E175" s="1" t="s">
        <v>39</v>
      </c>
      <c r="F175" s="1" t="s">
        <v>1053</v>
      </c>
      <c r="G175" s="1" t="s">
        <v>141</v>
      </c>
      <c r="H175" s="1" t="s">
        <v>74</v>
      </c>
      <c r="I175" s="1" t="s">
        <v>32</v>
      </c>
      <c r="J175" s="1" t="s">
        <v>75</v>
      </c>
      <c r="K175" s="1" t="s">
        <v>77</v>
      </c>
      <c r="L175">
        <v>2</v>
      </c>
      <c r="M175">
        <v>2</v>
      </c>
      <c r="N175">
        <v>0</v>
      </c>
      <c r="O175">
        <v>1</v>
      </c>
      <c r="P175">
        <v>4</v>
      </c>
      <c r="Q175">
        <v>0</v>
      </c>
      <c r="R175">
        <v>0</v>
      </c>
      <c r="S175">
        <v>1</v>
      </c>
      <c r="T175">
        <v>1</v>
      </c>
      <c r="U175" s="1" t="s">
        <v>77</v>
      </c>
      <c r="V175" s="1" t="s">
        <v>78</v>
      </c>
      <c r="W175" s="1">
        <f t="shared" si="2"/>
        <v>54.92</v>
      </c>
      <c r="X175" s="1" t="s">
        <v>79</v>
      </c>
      <c r="Y175">
        <v>1</v>
      </c>
      <c r="Z175">
        <v>1</v>
      </c>
      <c r="AA175">
        <v>85</v>
      </c>
    </row>
    <row r="176" spans="1:27" x14ac:dyDescent="0.3">
      <c r="A176" s="1" t="s">
        <v>1054</v>
      </c>
      <c r="B176">
        <v>175</v>
      </c>
      <c r="C176" s="1" t="s">
        <v>1055</v>
      </c>
      <c r="D176" s="1" t="s">
        <v>1056</v>
      </c>
      <c r="E176" s="1" t="s">
        <v>41</v>
      </c>
      <c r="F176" s="1" t="s">
        <v>851</v>
      </c>
      <c r="G176" s="1" t="s">
        <v>150</v>
      </c>
      <c r="H176" s="1" t="s">
        <v>29</v>
      </c>
      <c r="I176" s="1" t="s">
        <v>32</v>
      </c>
      <c r="J176" s="1" t="s">
        <v>41</v>
      </c>
      <c r="K176" s="1" t="s">
        <v>1057</v>
      </c>
      <c r="L176">
        <v>2</v>
      </c>
      <c r="M176">
        <v>0</v>
      </c>
      <c r="N176">
        <v>0</v>
      </c>
      <c r="O176">
        <v>2</v>
      </c>
      <c r="P176">
        <v>2</v>
      </c>
      <c r="Q176">
        <v>0</v>
      </c>
      <c r="R176">
        <v>0</v>
      </c>
      <c r="S176">
        <v>1</v>
      </c>
      <c r="T176">
        <v>1</v>
      </c>
      <c r="U176" s="1" t="s">
        <v>1058</v>
      </c>
      <c r="V176" s="1" t="s">
        <v>87</v>
      </c>
      <c r="W176" s="1">
        <f t="shared" si="2"/>
        <v>274.58999999999997</v>
      </c>
      <c r="X176" s="1" t="s">
        <v>1059</v>
      </c>
      <c r="Y176">
        <v>1</v>
      </c>
      <c r="Z176">
        <v>1</v>
      </c>
      <c r="AA176">
        <v>86</v>
      </c>
    </row>
    <row r="177" spans="1:27" x14ac:dyDescent="0.3">
      <c r="A177" s="1" t="s">
        <v>1060</v>
      </c>
      <c r="B177">
        <v>176</v>
      </c>
      <c r="C177" s="1" t="s">
        <v>1061</v>
      </c>
      <c r="D177" s="1" t="s">
        <v>158</v>
      </c>
      <c r="E177" s="1" t="s">
        <v>32</v>
      </c>
      <c r="F177" s="1" t="s">
        <v>158</v>
      </c>
      <c r="G177" s="1" t="s">
        <v>158</v>
      </c>
      <c r="H177" s="1" t="s">
        <v>32</v>
      </c>
      <c r="I177" s="1" t="s">
        <v>32</v>
      </c>
      <c r="J177" s="1" t="s">
        <v>32</v>
      </c>
      <c r="K177" s="1" t="s">
        <v>94</v>
      </c>
      <c r="L177">
        <v>3</v>
      </c>
      <c r="M177">
        <v>1</v>
      </c>
      <c r="N177">
        <v>0</v>
      </c>
      <c r="O177">
        <v>3</v>
      </c>
      <c r="P177">
        <v>4</v>
      </c>
      <c r="Q177">
        <v>0</v>
      </c>
      <c r="R177">
        <v>0</v>
      </c>
      <c r="S177">
        <v>1</v>
      </c>
      <c r="T177">
        <v>1</v>
      </c>
      <c r="U177" s="1" t="s">
        <v>95</v>
      </c>
      <c r="V177" s="1" t="s">
        <v>96</v>
      </c>
      <c r="W177" s="1">
        <f t="shared" si="2"/>
        <v>229.39</v>
      </c>
      <c r="X177" s="1" t="s">
        <v>97</v>
      </c>
      <c r="Y177">
        <v>1</v>
      </c>
      <c r="Z177">
        <v>1</v>
      </c>
      <c r="AA177">
        <v>87</v>
      </c>
    </row>
    <row r="178" spans="1:27" x14ac:dyDescent="0.3">
      <c r="A178" s="1" t="s">
        <v>1062</v>
      </c>
      <c r="B178">
        <v>177</v>
      </c>
      <c r="C178" s="1" t="s">
        <v>1063</v>
      </c>
      <c r="D178" s="1" t="s">
        <v>1064</v>
      </c>
      <c r="E178" s="1" t="s">
        <v>29</v>
      </c>
      <c r="F178" s="1" t="s">
        <v>862</v>
      </c>
      <c r="G178" s="1" t="s">
        <v>166</v>
      </c>
      <c r="H178" s="1" t="s">
        <v>41</v>
      </c>
      <c r="I178" s="1" t="s">
        <v>32</v>
      </c>
      <c r="J178" s="1" t="s">
        <v>74</v>
      </c>
      <c r="K178" s="1" t="s">
        <v>263</v>
      </c>
      <c r="L178">
        <v>3</v>
      </c>
      <c r="M178">
        <v>0</v>
      </c>
      <c r="N178">
        <v>0</v>
      </c>
      <c r="O178">
        <v>4</v>
      </c>
      <c r="P178">
        <v>3</v>
      </c>
      <c r="Q178">
        <v>0</v>
      </c>
      <c r="R178">
        <v>0</v>
      </c>
      <c r="S178">
        <v>1</v>
      </c>
      <c r="T178">
        <v>1</v>
      </c>
      <c r="U178" s="1" t="s">
        <v>263</v>
      </c>
      <c r="V178" s="1" t="s">
        <v>104</v>
      </c>
      <c r="W178" s="1">
        <f t="shared" si="2"/>
        <v>76.84</v>
      </c>
      <c r="X178" s="1" t="s">
        <v>264</v>
      </c>
      <c r="Y178">
        <v>1</v>
      </c>
      <c r="Z178">
        <v>1</v>
      </c>
      <c r="AA178">
        <v>88</v>
      </c>
    </row>
    <row r="179" spans="1:27" x14ac:dyDescent="0.3">
      <c r="A179" s="1" t="s">
        <v>1065</v>
      </c>
      <c r="B179">
        <v>178</v>
      </c>
      <c r="C179" s="1" t="s">
        <v>1066</v>
      </c>
      <c r="D179" s="1" t="s">
        <v>1067</v>
      </c>
      <c r="E179" s="1" t="s">
        <v>39</v>
      </c>
      <c r="F179" s="1" t="s">
        <v>868</v>
      </c>
      <c r="G179" s="1" t="s">
        <v>175</v>
      </c>
      <c r="H179" s="1" t="s">
        <v>48</v>
      </c>
      <c r="I179" s="1" t="s">
        <v>32</v>
      </c>
      <c r="J179" s="1" t="s">
        <v>29</v>
      </c>
      <c r="K179" s="1" t="s">
        <v>1068</v>
      </c>
      <c r="L179">
        <v>3</v>
      </c>
      <c r="M179">
        <v>0</v>
      </c>
      <c r="N179">
        <v>0</v>
      </c>
      <c r="O179">
        <v>5</v>
      </c>
      <c r="P179">
        <v>3</v>
      </c>
      <c r="Q179">
        <v>0</v>
      </c>
      <c r="R179">
        <v>0</v>
      </c>
      <c r="S179">
        <v>1</v>
      </c>
      <c r="T179">
        <v>1</v>
      </c>
      <c r="U179" s="1" t="s">
        <v>1069</v>
      </c>
      <c r="V179" s="1" t="s">
        <v>111</v>
      </c>
      <c r="W179" s="1">
        <f t="shared" si="2"/>
        <v>80.229999999999905</v>
      </c>
      <c r="X179" s="1" t="s">
        <v>204</v>
      </c>
      <c r="Y179">
        <v>1</v>
      </c>
      <c r="Z179">
        <v>1</v>
      </c>
      <c r="AA179">
        <v>89</v>
      </c>
    </row>
    <row r="180" spans="1:27" x14ac:dyDescent="0.3">
      <c r="A180" s="1" t="s">
        <v>1070</v>
      </c>
      <c r="B180">
        <v>179</v>
      </c>
      <c r="C180" s="1" t="s">
        <v>1071</v>
      </c>
      <c r="D180" s="1" t="s">
        <v>987</v>
      </c>
      <c r="E180" s="1" t="s">
        <v>41</v>
      </c>
      <c r="F180" s="1" t="s">
        <v>1072</v>
      </c>
      <c r="G180" s="1" t="s">
        <v>181</v>
      </c>
      <c r="H180" s="1" t="s">
        <v>55</v>
      </c>
      <c r="I180" s="1" t="s">
        <v>32</v>
      </c>
      <c r="J180" s="1" t="s">
        <v>75</v>
      </c>
      <c r="K180" s="1" t="s">
        <v>118</v>
      </c>
      <c r="L180">
        <v>3</v>
      </c>
      <c r="M180">
        <v>0</v>
      </c>
      <c r="N180">
        <v>0</v>
      </c>
      <c r="O180">
        <v>6</v>
      </c>
      <c r="P180">
        <v>3</v>
      </c>
      <c r="Q180">
        <v>0</v>
      </c>
      <c r="R180">
        <v>0</v>
      </c>
      <c r="S180">
        <v>1</v>
      </c>
      <c r="T180">
        <v>1</v>
      </c>
      <c r="U180" s="1" t="s">
        <v>119</v>
      </c>
      <c r="V180" s="1" t="s">
        <v>120</v>
      </c>
      <c r="W180" s="1">
        <f t="shared" si="2"/>
        <v>249.39</v>
      </c>
      <c r="X180" s="1" t="s">
        <v>121</v>
      </c>
      <c r="Y180">
        <v>1</v>
      </c>
      <c r="Z180">
        <v>1</v>
      </c>
      <c r="AA180">
        <v>90</v>
      </c>
    </row>
    <row r="181" spans="1:27" x14ac:dyDescent="0.3">
      <c r="A181" s="1" t="s">
        <v>1073</v>
      </c>
      <c r="B181">
        <v>180</v>
      </c>
      <c r="C181" s="1" t="s">
        <v>1074</v>
      </c>
      <c r="D181" s="1" t="s">
        <v>189</v>
      </c>
      <c r="E181" s="1" t="s">
        <v>32</v>
      </c>
      <c r="F181" s="1" t="s">
        <v>189</v>
      </c>
      <c r="G181" s="1" t="s">
        <v>189</v>
      </c>
      <c r="H181" s="1" t="s">
        <v>63</v>
      </c>
      <c r="I181" s="1" t="s">
        <v>32</v>
      </c>
      <c r="J181" s="1" t="s">
        <v>41</v>
      </c>
      <c r="K181" s="1" t="s">
        <v>1075</v>
      </c>
      <c r="L181">
        <v>1</v>
      </c>
      <c r="M181">
        <v>2</v>
      </c>
      <c r="N181">
        <v>1</v>
      </c>
      <c r="O181">
        <v>1</v>
      </c>
      <c r="P181">
        <v>4</v>
      </c>
      <c r="Q181">
        <v>0</v>
      </c>
      <c r="R181">
        <v>0</v>
      </c>
      <c r="S181">
        <v>1</v>
      </c>
      <c r="T181">
        <v>1</v>
      </c>
      <c r="U181" s="1" t="s">
        <v>1075</v>
      </c>
      <c r="V181" s="1" t="s">
        <v>127</v>
      </c>
      <c r="W181" s="1">
        <f t="shared" si="2"/>
        <v>47.46</v>
      </c>
      <c r="X181" s="1" t="s">
        <v>1076</v>
      </c>
      <c r="Y181">
        <v>1</v>
      </c>
      <c r="Z181">
        <v>1</v>
      </c>
      <c r="AA181">
        <v>1</v>
      </c>
    </row>
    <row r="182" spans="1:27" x14ac:dyDescent="0.3">
      <c r="A182" s="1" t="s">
        <v>1077</v>
      </c>
      <c r="B182">
        <v>181</v>
      </c>
      <c r="C182" s="1" t="s">
        <v>1078</v>
      </c>
      <c r="D182" s="1" t="s">
        <v>31</v>
      </c>
      <c r="E182" s="1" t="s">
        <v>29</v>
      </c>
      <c r="F182" s="1" t="s">
        <v>887</v>
      </c>
      <c r="G182" s="1" t="s">
        <v>196</v>
      </c>
      <c r="H182" s="1" t="s">
        <v>74</v>
      </c>
      <c r="I182" s="1" t="s">
        <v>33</v>
      </c>
      <c r="J182" s="1" t="s">
        <v>33</v>
      </c>
      <c r="K182" s="1" t="s">
        <v>34</v>
      </c>
      <c r="L182">
        <v>1</v>
      </c>
      <c r="M182">
        <v>0</v>
      </c>
      <c r="N182">
        <v>0</v>
      </c>
      <c r="O182">
        <v>2</v>
      </c>
      <c r="P182">
        <v>1</v>
      </c>
      <c r="Q182">
        <v>1</v>
      </c>
      <c r="R182">
        <v>0</v>
      </c>
      <c r="S182">
        <v>0</v>
      </c>
      <c r="T182">
        <v>0</v>
      </c>
      <c r="U182" s="1" t="s">
        <v>35</v>
      </c>
      <c r="V182" s="1">
        <v>0</v>
      </c>
      <c r="W182" s="1">
        <f t="shared" si="2"/>
        <v>0</v>
      </c>
      <c r="X182" s="1" t="s">
        <v>35</v>
      </c>
      <c r="Y182">
        <v>1</v>
      </c>
      <c r="Z182">
        <v>0</v>
      </c>
      <c r="AA182">
        <v>2</v>
      </c>
    </row>
    <row r="183" spans="1:27" x14ac:dyDescent="0.3">
      <c r="A183" s="1" t="s">
        <v>1079</v>
      </c>
      <c r="B183">
        <v>182</v>
      </c>
      <c r="C183" s="1" t="s">
        <v>1080</v>
      </c>
      <c r="D183" s="1" t="s">
        <v>40</v>
      </c>
      <c r="E183" s="1" t="s">
        <v>39</v>
      </c>
      <c r="F183" s="1" t="s">
        <v>1081</v>
      </c>
      <c r="G183" s="1" t="s">
        <v>203</v>
      </c>
      <c r="H183" s="1" t="s">
        <v>29</v>
      </c>
      <c r="I183" s="1" t="s">
        <v>33</v>
      </c>
      <c r="J183" s="1" t="s">
        <v>33</v>
      </c>
      <c r="K183" s="1" t="s">
        <v>34</v>
      </c>
      <c r="L183">
        <v>1</v>
      </c>
      <c r="M183">
        <v>0</v>
      </c>
      <c r="N183">
        <v>0</v>
      </c>
      <c r="O183">
        <v>3</v>
      </c>
      <c r="P183">
        <v>1</v>
      </c>
      <c r="Q183">
        <v>1</v>
      </c>
      <c r="R183">
        <v>0</v>
      </c>
      <c r="S183">
        <v>0</v>
      </c>
      <c r="T183">
        <v>0</v>
      </c>
      <c r="U183" s="1" t="s">
        <v>42</v>
      </c>
      <c r="V183" s="1">
        <v>0</v>
      </c>
      <c r="W183" s="1">
        <f t="shared" si="2"/>
        <v>0</v>
      </c>
      <c r="X183" s="1" t="s">
        <v>42</v>
      </c>
      <c r="Y183">
        <v>1</v>
      </c>
      <c r="Z183">
        <v>0</v>
      </c>
      <c r="AA183">
        <v>3</v>
      </c>
    </row>
    <row r="184" spans="1:27" x14ac:dyDescent="0.3">
      <c r="A184" s="1" t="s">
        <v>1082</v>
      </c>
      <c r="B184">
        <v>183</v>
      </c>
      <c r="C184" s="1" t="s">
        <v>1083</v>
      </c>
      <c r="D184" s="1" t="s">
        <v>1084</v>
      </c>
      <c r="E184" s="1" t="s">
        <v>41</v>
      </c>
      <c r="F184" s="1" t="s">
        <v>1085</v>
      </c>
      <c r="G184" s="1" t="s">
        <v>208</v>
      </c>
      <c r="H184" s="1" t="s">
        <v>32</v>
      </c>
      <c r="I184" s="1" t="s">
        <v>33</v>
      </c>
      <c r="J184" s="1" t="s">
        <v>33</v>
      </c>
      <c r="K184" s="1" t="s">
        <v>34</v>
      </c>
      <c r="L184">
        <v>2</v>
      </c>
      <c r="M184">
        <v>0</v>
      </c>
      <c r="N184">
        <v>0</v>
      </c>
      <c r="O184">
        <v>4</v>
      </c>
      <c r="P184">
        <v>2</v>
      </c>
      <c r="Q184">
        <v>1</v>
      </c>
      <c r="R184">
        <v>0</v>
      </c>
      <c r="S184">
        <v>0</v>
      </c>
      <c r="T184">
        <v>0</v>
      </c>
      <c r="U184" s="1" t="s">
        <v>49</v>
      </c>
      <c r="V184" s="1">
        <v>0</v>
      </c>
      <c r="W184" s="1">
        <f t="shared" si="2"/>
        <v>0</v>
      </c>
      <c r="X184" s="1" t="s">
        <v>49</v>
      </c>
      <c r="Y184">
        <v>1</v>
      </c>
      <c r="Z184">
        <v>0</v>
      </c>
      <c r="AA184">
        <v>4</v>
      </c>
    </row>
    <row r="185" spans="1:27" x14ac:dyDescent="0.3">
      <c r="A185" s="1" t="s">
        <v>1086</v>
      </c>
      <c r="B185">
        <v>184</v>
      </c>
      <c r="C185" s="1" t="s">
        <v>1087</v>
      </c>
      <c r="D185" s="1" t="s">
        <v>1088</v>
      </c>
      <c r="E185" s="1" t="s">
        <v>32</v>
      </c>
      <c r="F185" s="1" t="s">
        <v>1089</v>
      </c>
      <c r="G185" s="1" t="s">
        <v>212</v>
      </c>
      <c r="H185" s="1" t="s">
        <v>41</v>
      </c>
      <c r="I185" s="1" t="s">
        <v>56</v>
      </c>
      <c r="J185" s="1" t="s">
        <v>33</v>
      </c>
      <c r="K185" s="1" t="s">
        <v>34</v>
      </c>
      <c r="L185">
        <v>2</v>
      </c>
      <c r="M185">
        <v>1</v>
      </c>
      <c r="N185">
        <v>0</v>
      </c>
      <c r="O185">
        <v>5</v>
      </c>
      <c r="P185">
        <v>3</v>
      </c>
      <c r="Q185">
        <v>0</v>
      </c>
      <c r="R185">
        <v>1</v>
      </c>
      <c r="S185">
        <v>0</v>
      </c>
      <c r="T185">
        <v>0</v>
      </c>
      <c r="U185" s="1" t="s">
        <v>57</v>
      </c>
      <c r="V185" s="1">
        <v>0</v>
      </c>
      <c r="W185" s="1">
        <f t="shared" si="2"/>
        <v>0</v>
      </c>
      <c r="X185" s="1" t="s">
        <v>57</v>
      </c>
      <c r="Y185">
        <v>1</v>
      </c>
      <c r="Z185">
        <v>0</v>
      </c>
      <c r="AA185">
        <v>5</v>
      </c>
    </row>
    <row r="186" spans="1:27" x14ac:dyDescent="0.3">
      <c r="A186" s="1" t="s">
        <v>1090</v>
      </c>
      <c r="B186">
        <v>185</v>
      </c>
      <c r="C186" s="1" t="s">
        <v>1091</v>
      </c>
      <c r="D186" s="1" t="s">
        <v>1092</v>
      </c>
      <c r="E186" s="1" t="s">
        <v>29</v>
      </c>
      <c r="F186" s="1" t="s">
        <v>1011</v>
      </c>
      <c r="G186" s="1" t="s">
        <v>216</v>
      </c>
      <c r="H186" s="1" t="s">
        <v>48</v>
      </c>
      <c r="I186" s="1" t="s">
        <v>64</v>
      </c>
      <c r="J186" s="1" t="s">
        <v>74</v>
      </c>
      <c r="K186" s="1" t="s">
        <v>65</v>
      </c>
      <c r="L186">
        <v>2</v>
      </c>
      <c r="M186">
        <v>0</v>
      </c>
      <c r="N186">
        <v>0</v>
      </c>
      <c r="O186">
        <v>6</v>
      </c>
      <c r="P186">
        <v>2</v>
      </c>
      <c r="Q186">
        <v>0</v>
      </c>
      <c r="R186">
        <v>0</v>
      </c>
      <c r="S186">
        <v>0</v>
      </c>
      <c r="T186">
        <v>0</v>
      </c>
      <c r="U186" s="1" t="s">
        <v>66</v>
      </c>
      <c r="V186" s="1" t="s">
        <v>67</v>
      </c>
      <c r="W186" s="1">
        <f t="shared" si="2"/>
        <v>22.6</v>
      </c>
      <c r="X186" s="1" t="s">
        <v>68</v>
      </c>
      <c r="Y186">
        <v>1</v>
      </c>
      <c r="Z186">
        <v>0</v>
      </c>
      <c r="AA186">
        <v>6</v>
      </c>
    </row>
    <row r="187" spans="1:27" x14ac:dyDescent="0.3">
      <c r="A187" s="1" t="s">
        <v>1093</v>
      </c>
      <c r="B187">
        <v>186</v>
      </c>
      <c r="C187" s="1" t="s">
        <v>1094</v>
      </c>
      <c r="D187" s="1" t="s">
        <v>223</v>
      </c>
      <c r="E187" s="1" t="s">
        <v>39</v>
      </c>
      <c r="F187" s="1" t="s">
        <v>223</v>
      </c>
      <c r="G187" s="1" t="s">
        <v>223</v>
      </c>
      <c r="H187" s="1" t="s">
        <v>55</v>
      </c>
      <c r="I187" s="1" t="s">
        <v>64</v>
      </c>
      <c r="J187" s="1" t="s">
        <v>29</v>
      </c>
      <c r="K187" s="1" t="s">
        <v>1095</v>
      </c>
      <c r="L187">
        <v>3</v>
      </c>
      <c r="M187">
        <v>2</v>
      </c>
      <c r="N187">
        <v>0</v>
      </c>
      <c r="O187">
        <v>1</v>
      </c>
      <c r="P187">
        <v>5</v>
      </c>
      <c r="Q187">
        <v>0</v>
      </c>
      <c r="R187">
        <v>0</v>
      </c>
      <c r="S187">
        <v>0</v>
      </c>
      <c r="T187">
        <v>0</v>
      </c>
      <c r="U187" s="1" t="s">
        <v>1096</v>
      </c>
      <c r="V187" s="1" t="s">
        <v>177</v>
      </c>
      <c r="W187" s="1">
        <f t="shared" si="2"/>
        <v>61.02</v>
      </c>
      <c r="X187" s="1" t="s">
        <v>1097</v>
      </c>
      <c r="Y187">
        <v>1</v>
      </c>
      <c r="Z187">
        <v>0</v>
      </c>
      <c r="AA187">
        <v>7</v>
      </c>
    </row>
    <row r="188" spans="1:27" x14ac:dyDescent="0.3">
      <c r="A188" s="1" t="s">
        <v>1098</v>
      </c>
      <c r="B188">
        <v>187</v>
      </c>
      <c r="C188" s="1" t="s">
        <v>1099</v>
      </c>
      <c r="D188" s="1" t="s">
        <v>1100</v>
      </c>
      <c r="E188" s="1" t="s">
        <v>41</v>
      </c>
      <c r="F188" s="1" t="s">
        <v>84</v>
      </c>
      <c r="G188" s="1" t="s">
        <v>230</v>
      </c>
      <c r="H188" s="1" t="s">
        <v>63</v>
      </c>
      <c r="I188" s="1" t="s">
        <v>32</v>
      </c>
      <c r="J188" s="1" t="s">
        <v>29</v>
      </c>
      <c r="K188" s="1" t="s">
        <v>182</v>
      </c>
      <c r="L188">
        <v>3</v>
      </c>
      <c r="M188">
        <v>0</v>
      </c>
      <c r="N188">
        <v>0</v>
      </c>
      <c r="O188">
        <v>2</v>
      </c>
      <c r="P188">
        <v>3</v>
      </c>
      <c r="Q188">
        <v>0</v>
      </c>
      <c r="R188">
        <v>0</v>
      </c>
      <c r="S188">
        <v>1</v>
      </c>
      <c r="T188">
        <v>1</v>
      </c>
      <c r="U188" s="1" t="s">
        <v>183</v>
      </c>
      <c r="V188" s="1" t="s">
        <v>184</v>
      </c>
      <c r="W188" s="1">
        <f t="shared" si="2"/>
        <v>265.77999999999997</v>
      </c>
      <c r="X188" s="1" t="s">
        <v>88</v>
      </c>
      <c r="Y188">
        <v>1</v>
      </c>
      <c r="Z188">
        <v>1</v>
      </c>
      <c r="AA188">
        <v>8</v>
      </c>
    </row>
    <row r="189" spans="1:27" x14ac:dyDescent="0.3">
      <c r="A189" s="1" t="s">
        <v>1101</v>
      </c>
      <c r="B189">
        <v>188</v>
      </c>
      <c r="C189" s="1" t="s">
        <v>1102</v>
      </c>
      <c r="D189" s="1" t="s">
        <v>1103</v>
      </c>
      <c r="E189" s="1" t="s">
        <v>32</v>
      </c>
      <c r="F189" s="1" t="s">
        <v>93</v>
      </c>
      <c r="G189" s="1" t="s">
        <v>238</v>
      </c>
      <c r="H189" s="1" t="s">
        <v>74</v>
      </c>
      <c r="I189" s="1" t="s">
        <v>32</v>
      </c>
      <c r="J189" s="1" t="s">
        <v>75</v>
      </c>
      <c r="K189" s="1" t="s">
        <v>1104</v>
      </c>
      <c r="L189">
        <v>3</v>
      </c>
      <c r="M189">
        <v>1</v>
      </c>
      <c r="N189">
        <v>0</v>
      </c>
      <c r="O189">
        <v>3</v>
      </c>
      <c r="P189">
        <v>4</v>
      </c>
      <c r="Q189">
        <v>0</v>
      </c>
      <c r="R189">
        <v>0</v>
      </c>
      <c r="S189">
        <v>1</v>
      </c>
      <c r="T189">
        <v>1</v>
      </c>
      <c r="U189" s="1" t="s">
        <v>1105</v>
      </c>
      <c r="V189" s="1" t="s">
        <v>192</v>
      </c>
      <c r="W189" s="1">
        <f t="shared" si="2"/>
        <v>220.58</v>
      </c>
      <c r="X189" s="1" t="s">
        <v>97</v>
      </c>
      <c r="Y189">
        <v>1</v>
      </c>
      <c r="Z189">
        <v>1</v>
      </c>
      <c r="AA189">
        <v>9</v>
      </c>
    </row>
    <row r="190" spans="1:27" x14ac:dyDescent="0.3">
      <c r="A190" s="1" t="s">
        <v>1106</v>
      </c>
      <c r="B190">
        <v>189</v>
      </c>
      <c r="C190" s="1" t="s">
        <v>1107</v>
      </c>
      <c r="D190" s="1" t="s">
        <v>242</v>
      </c>
      <c r="E190" s="1" t="s">
        <v>29</v>
      </c>
      <c r="F190" s="1" t="s">
        <v>242</v>
      </c>
      <c r="G190" s="1" t="s">
        <v>242</v>
      </c>
      <c r="H190" s="1" t="s">
        <v>29</v>
      </c>
      <c r="I190" s="1" t="s">
        <v>32</v>
      </c>
      <c r="J190" s="1" t="s">
        <v>41</v>
      </c>
      <c r="K190" s="1" t="s">
        <v>103</v>
      </c>
      <c r="L190">
        <v>3</v>
      </c>
      <c r="M190">
        <v>0</v>
      </c>
      <c r="N190">
        <v>0</v>
      </c>
      <c r="O190">
        <v>4</v>
      </c>
      <c r="P190">
        <v>3</v>
      </c>
      <c r="Q190">
        <v>0</v>
      </c>
      <c r="R190">
        <v>0</v>
      </c>
      <c r="S190">
        <v>1</v>
      </c>
      <c r="T190">
        <v>1</v>
      </c>
      <c r="U190" s="1" t="s">
        <v>103</v>
      </c>
      <c r="V190" s="1" t="s">
        <v>104</v>
      </c>
      <c r="W190" s="1">
        <f t="shared" si="2"/>
        <v>76.84</v>
      </c>
      <c r="X190" s="1" t="s">
        <v>105</v>
      </c>
      <c r="Y190">
        <v>1</v>
      </c>
      <c r="Z190">
        <v>1</v>
      </c>
      <c r="AA190">
        <v>10</v>
      </c>
    </row>
    <row r="191" spans="1:27" x14ac:dyDescent="0.3">
      <c r="A191" s="1" t="s">
        <v>1108</v>
      </c>
      <c r="B191">
        <v>190</v>
      </c>
      <c r="C191" s="1" t="s">
        <v>1109</v>
      </c>
      <c r="D191" s="1" t="s">
        <v>1110</v>
      </c>
      <c r="E191" s="1" t="s">
        <v>39</v>
      </c>
      <c r="F191" s="1" t="s">
        <v>1111</v>
      </c>
      <c r="G191" s="1" t="s">
        <v>75</v>
      </c>
      <c r="H191" s="1" t="s">
        <v>32</v>
      </c>
      <c r="I191" s="1" t="s">
        <v>32</v>
      </c>
      <c r="J191" s="1" t="s">
        <v>32</v>
      </c>
      <c r="K191" s="1" t="s">
        <v>109</v>
      </c>
      <c r="L191">
        <v>1</v>
      </c>
      <c r="M191">
        <v>0</v>
      </c>
      <c r="N191">
        <v>0</v>
      </c>
      <c r="O191">
        <v>5</v>
      </c>
      <c r="P191">
        <v>1</v>
      </c>
      <c r="Q191">
        <v>0</v>
      </c>
      <c r="R191">
        <v>0</v>
      </c>
      <c r="S191">
        <v>1</v>
      </c>
      <c r="T191">
        <v>1</v>
      </c>
      <c r="U191" s="1" t="s">
        <v>110</v>
      </c>
      <c r="V191" s="1" t="s">
        <v>111</v>
      </c>
      <c r="W191" s="1">
        <f t="shared" si="2"/>
        <v>80.229999999999905</v>
      </c>
      <c r="X191" s="1" t="s">
        <v>112</v>
      </c>
      <c r="Y191">
        <v>1</v>
      </c>
      <c r="Z191">
        <v>1</v>
      </c>
      <c r="AA191">
        <v>11</v>
      </c>
    </row>
    <row r="192" spans="1:27" x14ac:dyDescent="0.3">
      <c r="A192" s="1" t="s">
        <v>1112</v>
      </c>
      <c r="B192">
        <v>191</v>
      </c>
      <c r="C192" s="1" t="s">
        <v>1113</v>
      </c>
      <c r="D192" s="1" t="s">
        <v>117</v>
      </c>
      <c r="E192" s="1" t="s">
        <v>41</v>
      </c>
      <c r="F192" s="1" t="s">
        <v>941</v>
      </c>
      <c r="G192" s="1" t="s">
        <v>251</v>
      </c>
      <c r="H192" s="1" t="s">
        <v>41</v>
      </c>
      <c r="I192" s="1" t="s">
        <v>32</v>
      </c>
      <c r="J192" s="1" t="s">
        <v>74</v>
      </c>
      <c r="K192" s="1" t="s">
        <v>1114</v>
      </c>
      <c r="L192">
        <v>1</v>
      </c>
      <c r="M192">
        <v>0</v>
      </c>
      <c r="N192">
        <v>0</v>
      </c>
      <c r="O192">
        <v>6</v>
      </c>
      <c r="P192">
        <v>1</v>
      </c>
      <c r="Q192">
        <v>0</v>
      </c>
      <c r="R192">
        <v>0</v>
      </c>
      <c r="S192">
        <v>1</v>
      </c>
      <c r="T192">
        <v>1</v>
      </c>
      <c r="U192" s="1" t="s">
        <v>1115</v>
      </c>
      <c r="V192" s="1" t="s">
        <v>169</v>
      </c>
      <c r="W192" s="1">
        <f t="shared" si="2"/>
        <v>270.07</v>
      </c>
      <c r="X192" s="1" t="s">
        <v>1116</v>
      </c>
      <c r="Y192">
        <v>1</v>
      </c>
      <c r="Z192">
        <v>1</v>
      </c>
      <c r="AA192">
        <v>12</v>
      </c>
    </row>
    <row r="193" spans="1:27" x14ac:dyDescent="0.3">
      <c r="A193" s="1" t="s">
        <v>1117</v>
      </c>
      <c r="B193">
        <v>192</v>
      </c>
      <c r="C193" s="1" t="s">
        <v>1118</v>
      </c>
      <c r="D193" s="1" t="s">
        <v>1119</v>
      </c>
      <c r="E193" s="1" t="s">
        <v>32</v>
      </c>
      <c r="F193" s="1" t="s">
        <v>1120</v>
      </c>
      <c r="G193" s="1" t="s">
        <v>254</v>
      </c>
      <c r="H193" s="1" t="s">
        <v>48</v>
      </c>
      <c r="I193" s="1" t="s">
        <v>32</v>
      </c>
      <c r="J193" s="1" t="s">
        <v>29</v>
      </c>
      <c r="K193" s="1" t="s">
        <v>126</v>
      </c>
      <c r="L193">
        <v>1</v>
      </c>
      <c r="M193">
        <v>2</v>
      </c>
      <c r="N193">
        <v>1</v>
      </c>
      <c r="O193">
        <v>1</v>
      </c>
      <c r="P193">
        <v>4</v>
      </c>
      <c r="Q193">
        <v>0</v>
      </c>
      <c r="R193">
        <v>0</v>
      </c>
      <c r="S193">
        <v>1</v>
      </c>
      <c r="T193">
        <v>1</v>
      </c>
      <c r="U193" s="1" t="s">
        <v>126</v>
      </c>
      <c r="V193" s="1" t="s">
        <v>127</v>
      </c>
      <c r="W193" s="1">
        <f t="shared" si="2"/>
        <v>47.46</v>
      </c>
      <c r="X193" s="1" t="s">
        <v>128</v>
      </c>
      <c r="Y193">
        <v>1</v>
      </c>
      <c r="Z193">
        <v>1</v>
      </c>
      <c r="AA193">
        <v>13</v>
      </c>
    </row>
    <row r="194" spans="1:27" x14ac:dyDescent="0.3">
      <c r="A194" s="1" t="s">
        <v>1121</v>
      </c>
      <c r="B194">
        <v>193</v>
      </c>
      <c r="C194" s="1" t="s">
        <v>1122</v>
      </c>
      <c r="D194" s="1" t="s">
        <v>1123</v>
      </c>
      <c r="E194" s="1" t="s">
        <v>29</v>
      </c>
      <c r="F194" s="1" t="s">
        <v>1124</v>
      </c>
      <c r="G194" s="1" t="s">
        <v>262</v>
      </c>
      <c r="H194" s="1" t="s">
        <v>55</v>
      </c>
      <c r="I194" s="1" t="s">
        <v>32</v>
      </c>
      <c r="J194" s="1" t="s">
        <v>75</v>
      </c>
      <c r="K194" s="1" t="s">
        <v>286</v>
      </c>
      <c r="L194">
        <v>2</v>
      </c>
      <c r="M194">
        <v>0</v>
      </c>
      <c r="N194">
        <v>0</v>
      </c>
      <c r="O194">
        <v>2</v>
      </c>
      <c r="P194">
        <v>2</v>
      </c>
      <c r="Q194">
        <v>0</v>
      </c>
      <c r="R194">
        <v>0</v>
      </c>
      <c r="S194">
        <v>1</v>
      </c>
      <c r="T194">
        <v>1</v>
      </c>
      <c r="U194" s="1" t="s">
        <v>287</v>
      </c>
      <c r="V194" s="1" t="s">
        <v>288</v>
      </c>
      <c r="W194" s="1">
        <f t="shared" ref="W194:W257" si="3">VALUE(SUBSTITUTE(TRIM(V194),".", ","))</f>
        <v>301.70999999999998</v>
      </c>
      <c r="X194" s="1" t="s">
        <v>289</v>
      </c>
      <c r="Y194">
        <v>1</v>
      </c>
      <c r="Z194">
        <v>1</v>
      </c>
      <c r="AA194">
        <v>14</v>
      </c>
    </row>
    <row r="195" spans="1:27" x14ac:dyDescent="0.3">
      <c r="A195" s="1" t="s">
        <v>1125</v>
      </c>
      <c r="B195">
        <v>194</v>
      </c>
      <c r="C195" s="1" t="s">
        <v>1126</v>
      </c>
      <c r="D195" s="1" t="s">
        <v>141</v>
      </c>
      <c r="E195" s="1" t="s">
        <v>39</v>
      </c>
      <c r="F195" s="1" t="s">
        <v>959</v>
      </c>
      <c r="G195" s="1" t="s">
        <v>267</v>
      </c>
      <c r="H195" s="1" t="s">
        <v>63</v>
      </c>
      <c r="I195" s="1" t="s">
        <v>32</v>
      </c>
      <c r="J195" s="1" t="s">
        <v>41</v>
      </c>
      <c r="K195" s="1" t="s">
        <v>1127</v>
      </c>
      <c r="L195">
        <v>2</v>
      </c>
      <c r="M195">
        <v>0</v>
      </c>
      <c r="N195">
        <v>0</v>
      </c>
      <c r="O195">
        <v>3</v>
      </c>
      <c r="P195">
        <v>2</v>
      </c>
      <c r="Q195">
        <v>0</v>
      </c>
      <c r="R195">
        <v>0</v>
      </c>
      <c r="S195">
        <v>1</v>
      </c>
      <c r="T195">
        <v>1</v>
      </c>
      <c r="U195" s="1" t="s">
        <v>1128</v>
      </c>
      <c r="V195" s="1" t="s">
        <v>706</v>
      </c>
      <c r="W195" s="1">
        <f t="shared" si="3"/>
        <v>195.94</v>
      </c>
      <c r="X195" s="1" t="s">
        <v>145</v>
      </c>
      <c r="Y195">
        <v>1</v>
      </c>
      <c r="Z195">
        <v>1</v>
      </c>
      <c r="AA195">
        <v>15</v>
      </c>
    </row>
    <row r="196" spans="1:27" x14ac:dyDescent="0.3">
      <c r="A196" s="1" t="s">
        <v>1129</v>
      </c>
      <c r="B196">
        <v>195</v>
      </c>
      <c r="C196" s="1" t="s">
        <v>1130</v>
      </c>
      <c r="D196" s="1" t="s">
        <v>150</v>
      </c>
      <c r="E196" s="1" t="s">
        <v>41</v>
      </c>
      <c r="F196" s="1" t="s">
        <v>1131</v>
      </c>
      <c r="G196" s="1" t="s">
        <v>273</v>
      </c>
      <c r="H196" s="1" t="s">
        <v>74</v>
      </c>
      <c r="I196" s="1" t="s">
        <v>32</v>
      </c>
      <c r="J196" s="1" t="s">
        <v>32</v>
      </c>
      <c r="K196" s="1" t="s">
        <v>1132</v>
      </c>
      <c r="L196">
        <v>2</v>
      </c>
      <c r="M196">
        <v>0</v>
      </c>
      <c r="N196">
        <v>0</v>
      </c>
      <c r="O196">
        <v>4</v>
      </c>
      <c r="P196">
        <v>2</v>
      </c>
      <c r="Q196">
        <v>0</v>
      </c>
      <c r="R196">
        <v>0</v>
      </c>
      <c r="S196">
        <v>1</v>
      </c>
      <c r="T196">
        <v>1</v>
      </c>
      <c r="U196" s="1" t="s">
        <v>1132</v>
      </c>
      <c r="V196" s="1" t="s">
        <v>232</v>
      </c>
      <c r="W196" s="1">
        <f t="shared" si="3"/>
        <v>56.95</v>
      </c>
      <c r="X196" s="1" t="s">
        <v>1133</v>
      </c>
      <c r="Y196">
        <v>1</v>
      </c>
      <c r="Z196">
        <v>1</v>
      </c>
      <c r="AA196">
        <v>16</v>
      </c>
    </row>
    <row r="197" spans="1:27" x14ac:dyDescent="0.3">
      <c r="A197" s="1" t="s">
        <v>1134</v>
      </c>
      <c r="B197">
        <v>196</v>
      </c>
      <c r="C197" s="1" t="s">
        <v>1135</v>
      </c>
      <c r="D197" s="1" t="s">
        <v>1136</v>
      </c>
      <c r="E197" s="1" t="s">
        <v>32</v>
      </c>
      <c r="F197" s="1" t="s">
        <v>1137</v>
      </c>
      <c r="G197" s="1" t="s">
        <v>280</v>
      </c>
      <c r="H197" s="1" t="s">
        <v>29</v>
      </c>
      <c r="I197" s="1" t="s">
        <v>32</v>
      </c>
      <c r="J197" s="1" t="s">
        <v>74</v>
      </c>
      <c r="K197" s="1" t="s">
        <v>159</v>
      </c>
      <c r="L197">
        <v>3</v>
      </c>
      <c r="M197">
        <v>1</v>
      </c>
      <c r="N197">
        <v>0</v>
      </c>
      <c r="O197">
        <v>5</v>
      </c>
      <c r="P197">
        <v>4</v>
      </c>
      <c r="Q197">
        <v>0</v>
      </c>
      <c r="R197">
        <v>0</v>
      </c>
      <c r="S197">
        <v>1</v>
      </c>
      <c r="T197">
        <v>1</v>
      </c>
      <c r="U197" s="1" t="s">
        <v>160</v>
      </c>
      <c r="V197" s="1" t="s">
        <v>161</v>
      </c>
      <c r="W197" s="1">
        <f t="shared" si="3"/>
        <v>66.67</v>
      </c>
      <c r="X197" s="1" t="s">
        <v>57</v>
      </c>
      <c r="Y197">
        <v>1</v>
      </c>
      <c r="Z197">
        <v>1</v>
      </c>
      <c r="AA197">
        <v>17</v>
      </c>
    </row>
    <row r="198" spans="1:27" x14ac:dyDescent="0.3">
      <c r="A198" s="1" t="s">
        <v>1138</v>
      </c>
      <c r="B198">
        <v>197</v>
      </c>
      <c r="C198" s="1" t="s">
        <v>1139</v>
      </c>
      <c r="D198" s="1" t="s">
        <v>1140</v>
      </c>
      <c r="E198" s="1" t="s">
        <v>29</v>
      </c>
      <c r="F198" s="1" t="s">
        <v>1141</v>
      </c>
      <c r="G198" s="1" t="s">
        <v>285</v>
      </c>
      <c r="H198" s="1" t="s">
        <v>32</v>
      </c>
      <c r="I198" s="1" t="s">
        <v>32</v>
      </c>
      <c r="J198" s="1" t="s">
        <v>29</v>
      </c>
      <c r="K198" s="1" t="s">
        <v>167</v>
      </c>
      <c r="L198">
        <v>3</v>
      </c>
      <c r="M198">
        <v>0</v>
      </c>
      <c r="N198">
        <v>0</v>
      </c>
      <c r="O198">
        <v>6</v>
      </c>
      <c r="P198">
        <v>3</v>
      </c>
      <c r="Q198">
        <v>0</v>
      </c>
      <c r="R198">
        <v>0</v>
      </c>
      <c r="S198">
        <v>1</v>
      </c>
      <c r="T198">
        <v>1</v>
      </c>
      <c r="U198" s="1" t="s">
        <v>168</v>
      </c>
      <c r="V198" s="1" t="s">
        <v>169</v>
      </c>
      <c r="W198" s="1">
        <f t="shared" si="3"/>
        <v>270.07</v>
      </c>
      <c r="X198" s="1" t="s">
        <v>170</v>
      </c>
      <c r="Y198">
        <v>1</v>
      </c>
      <c r="Z198">
        <v>1</v>
      </c>
      <c r="AA198">
        <v>18</v>
      </c>
    </row>
    <row r="199" spans="1:27" x14ac:dyDescent="0.3">
      <c r="A199" s="1" t="s">
        <v>1142</v>
      </c>
      <c r="B199">
        <v>198</v>
      </c>
      <c r="C199" s="1" t="s">
        <v>1143</v>
      </c>
      <c r="D199" s="1" t="s">
        <v>1144</v>
      </c>
      <c r="E199" s="1" t="s">
        <v>39</v>
      </c>
      <c r="F199" s="1" t="s">
        <v>1145</v>
      </c>
      <c r="G199" s="1" t="s">
        <v>292</v>
      </c>
      <c r="H199" s="1" t="s">
        <v>41</v>
      </c>
      <c r="I199" s="1" t="s">
        <v>32</v>
      </c>
      <c r="J199" s="1" t="s">
        <v>75</v>
      </c>
      <c r="K199" s="1" t="s">
        <v>176</v>
      </c>
      <c r="L199">
        <v>3</v>
      </c>
      <c r="M199">
        <v>2</v>
      </c>
      <c r="N199">
        <v>0</v>
      </c>
      <c r="O199">
        <v>1</v>
      </c>
      <c r="P199">
        <v>5</v>
      </c>
      <c r="Q199">
        <v>0</v>
      </c>
      <c r="R199">
        <v>0</v>
      </c>
      <c r="S199">
        <v>1</v>
      </c>
      <c r="T199">
        <v>1</v>
      </c>
      <c r="U199" s="1" t="s">
        <v>176</v>
      </c>
      <c r="V199" s="1" t="s">
        <v>177</v>
      </c>
      <c r="W199" s="1">
        <f t="shared" si="3"/>
        <v>61.02</v>
      </c>
      <c r="X199" s="1" t="s">
        <v>178</v>
      </c>
      <c r="Y199">
        <v>1</v>
      </c>
      <c r="Z199">
        <v>1</v>
      </c>
      <c r="AA199">
        <v>19</v>
      </c>
    </row>
    <row r="200" spans="1:27" x14ac:dyDescent="0.3">
      <c r="A200" s="1" t="s">
        <v>1146</v>
      </c>
      <c r="B200">
        <v>199</v>
      </c>
      <c r="C200" s="1" t="s">
        <v>1147</v>
      </c>
      <c r="D200" s="1" t="s">
        <v>1148</v>
      </c>
      <c r="E200" s="1" t="s">
        <v>41</v>
      </c>
      <c r="F200" s="1" t="s">
        <v>987</v>
      </c>
      <c r="G200" s="1" t="s">
        <v>74</v>
      </c>
      <c r="H200" s="1" t="s">
        <v>48</v>
      </c>
      <c r="I200" s="1" t="s">
        <v>32</v>
      </c>
      <c r="J200" s="1" t="s">
        <v>41</v>
      </c>
      <c r="K200" s="1" t="s">
        <v>85</v>
      </c>
      <c r="L200">
        <v>3</v>
      </c>
      <c r="M200">
        <v>0</v>
      </c>
      <c r="N200">
        <v>0</v>
      </c>
      <c r="O200">
        <v>2</v>
      </c>
      <c r="P200">
        <v>3</v>
      </c>
      <c r="Q200">
        <v>0</v>
      </c>
      <c r="R200">
        <v>0</v>
      </c>
      <c r="S200">
        <v>1</v>
      </c>
      <c r="T200">
        <v>1</v>
      </c>
      <c r="U200" s="1" t="s">
        <v>86</v>
      </c>
      <c r="V200" s="1" t="s">
        <v>87</v>
      </c>
      <c r="W200" s="1">
        <f t="shared" si="3"/>
        <v>274.58999999999997</v>
      </c>
      <c r="X200" s="1" t="s">
        <v>88</v>
      </c>
      <c r="Y200">
        <v>1</v>
      </c>
      <c r="Z200">
        <v>1</v>
      </c>
      <c r="AA200">
        <v>20</v>
      </c>
    </row>
    <row r="201" spans="1:27" x14ac:dyDescent="0.3">
      <c r="A201" s="1" t="s">
        <v>1149</v>
      </c>
      <c r="B201">
        <v>200</v>
      </c>
      <c r="C201" s="1" t="s">
        <v>1150</v>
      </c>
      <c r="D201" s="1" t="s">
        <v>1151</v>
      </c>
      <c r="E201" s="1" t="s">
        <v>32</v>
      </c>
      <c r="F201" s="1" t="s">
        <v>1152</v>
      </c>
      <c r="G201" s="1" t="s">
        <v>301</v>
      </c>
      <c r="H201" s="1" t="s">
        <v>55</v>
      </c>
      <c r="I201" s="1" t="s">
        <v>32</v>
      </c>
      <c r="J201" s="1" t="s">
        <v>32</v>
      </c>
      <c r="K201" s="1" t="s">
        <v>1153</v>
      </c>
      <c r="L201">
        <v>1</v>
      </c>
      <c r="M201">
        <v>1</v>
      </c>
      <c r="N201">
        <v>0</v>
      </c>
      <c r="O201">
        <v>3</v>
      </c>
      <c r="P201">
        <v>2</v>
      </c>
      <c r="Q201">
        <v>0</v>
      </c>
      <c r="R201">
        <v>0</v>
      </c>
      <c r="S201">
        <v>1</v>
      </c>
      <c r="T201">
        <v>1</v>
      </c>
      <c r="U201" s="1" t="s">
        <v>1154</v>
      </c>
      <c r="V201" s="1" t="s">
        <v>257</v>
      </c>
      <c r="W201" s="1">
        <f t="shared" si="3"/>
        <v>222.95</v>
      </c>
      <c r="X201" s="1" t="s">
        <v>193</v>
      </c>
      <c r="Y201">
        <v>1</v>
      </c>
      <c r="Z201">
        <v>1</v>
      </c>
      <c r="AA201">
        <v>21</v>
      </c>
    </row>
    <row r="202" spans="1:27" x14ac:dyDescent="0.3">
      <c r="A202" s="1" t="s">
        <v>1155</v>
      </c>
      <c r="B202">
        <v>201</v>
      </c>
      <c r="C202" s="1" t="s">
        <v>1156</v>
      </c>
      <c r="D202" s="1" t="s">
        <v>1157</v>
      </c>
      <c r="E202" s="1" t="s">
        <v>29</v>
      </c>
      <c r="F202" s="1" t="s">
        <v>31</v>
      </c>
      <c r="G202" s="1" t="s">
        <v>33</v>
      </c>
      <c r="H202" s="1" t="s">
        <v>63</v>
      </c>
      <c r="I202" s="1" t="s">
        <v>33</v>
      </c>
      <c r="J202" s="1" t="s">
        <v>33</v>
      </c>
      <c r="K202" s="1" t="s">
        <v>34</v>
      </c>
      <c r="L202">
        <v>1</v>
      </c>
      <c r="M202">
        <v>0</v>
      </c>
      <c r="N202">
        <v>0</v>
      </c>
      <c r="O202">
        <v>4</v>
      </c>
      <c r="P202">
        <v>1</v>
      </c>
      <c r="Q202">
        <v>1</v>
      </c>
      <c r="R202">
        <v>0</v>
      </c>
      <c r="S202">
        <v>0</v>
      </c>
      <c r="T202">
        <v>0</v>
      </c>
      <c r="U202" s="1" t="s">
        <v>1158</v>
      </c>
      <c r="V202" s="1">
        <v>0</v>
      </c>
      <c r="W202" s="1">
        <f t="shared" si="3"/>
        <v>0</v>
      </c>
      <c r="X202" s="1" t="s">
        <v>1158</v>
      </c>
      <c r="Y202">
        <v>1</v>
      </c>
      <c r="Z202">
        <v>0</v>
      </c>
      <c r="AA202">
        <v>22</v>
      </c>
    </row>
    <row r="203" spans="1:27" x14ac:dyDescent="0.3">
      <c r="A203" s="1" t="s">
        <v>1159</v>
      </c>
      <c r="B203">
        <v>202</v>
      </c>
      <c r="C203" s="1" t="s">
        <v>1160</v>
      </c>
      <c r="D203" s="1" t="s">
        <v>1161</v>
      </c>
      <c r="E203" s="1" t="s">
        <v>39</v>
      </c>
      <c r="F203" s="1" t="s">
        <v>40</v>
      </c>
      <c r="G203" s="1" t="s">
        <v>313</v>
      </c>
      <c r="H203" s="1" t="s">
        <v>74</v>
      </c>
      <c r="I203" s="1" t="s">
        <v>33</v>
      </c>
      <c r="J203" s="1" t="s">
        <v>33</v>
      </c>
      <c r="K203" s="1" t="s">
        <v>34</v>
      </c>
      <c r="L203">
        <v>1</v>
      </c>
      <c r="M203">
        <v>0</v>
      </c>
      <c r="N203">
        <v>0</v>
      </c>
      <c r="O203">
        <v>5</v>
      </c>
      <c r="P203">
        <v>1</v>
      </c>
      <c r="Q203">
        <v>1</v>
      </c>
      <c r="R203">
        <v>0</v>
      </c>
      <c r="S203">
        <v>0</v>
      </c>
      <c r="T203">
        <v>0</v>
      </c>
      <c r="U203" s="1" t="s">
        <v>416</v>
      </c>
      <c r="V203" s="1">
        <v>0</v>
      </c>
      <c r="W203" s="1">
        <f t="shared" si="3"/>
        <v>0</v>
      </c>
      <c r="X203" s="1" t="s">
        <v>416</v>
      </c>
      <c r="Y203">
        <v>1</v>
      </c>
      <c r="Z203">
        <v>0</v>
      </c>
      <c r="AA203">
        <v>23</v>
      </c>
    </row>
    <row r="204" spans="1:27" x14ac:dyDescent="0.3">
      <c r="A204" s="1" t="s">
        <v>1162</v>
      </c>
      <c r="B204">
        <v>203</v>
      </c>
      <c r="C204" s="1" t="s">
        <v>1163</v>
      </c>
      <c r="D204" s="1" t="s">
        <v>1164</v>
      </c>
      <c r="E204" s="1" t="s">
        <v>41</v>
      </c>
      <c r="F204" s="1" t="s">
        <v>1084</v>
      </c>
      <c r="G204" s="1" t="s">
        <v>318</v>
      </c>
      <c r="H204" s="1" t="s">
        <v>29</v>
      </c>
      <c r="I204" s="1" t="s">
        <v>33</v>
      </c>
      <c r="J204" s="1" t="s">
        <v>33</v>
      </c>
      <c r="K204" s="1" t="s">
        <v>34</v>
      </c>
      <c r="L204">
        <v>2</v>
      </c>
      <c r="M204">
        <v>0</v>
      </c>
      <c r="N204">
        <v>0</v>
      </c>
      <c r="O204">
        <v>6</v>
      </c>
      <c r="P204">
        <v>2</v>
      </c>
      <c r="Q204">
        <v>1</v>
      </c>
      <c r="R204">
        <v>0</v>
      </c>
      <c r="S204">
        <v>0</v>
      </c>
      <c r="T204">
        <v>0</v>
      </c>
      <c r="U204" s="1" t="s">
        <v>556</v>
      </c>
      <c r="V204" s="1">
        <v>0</v>
      </c>
      <c r="W204" s="1">
        <f t="shared" si="3"/>
        <v>0</v>
      </c>
      <c r="X204" s="1" t="s">
        <v>556</v>
      </c>
      <c r="Y204">
        <v>1</v>
      </c>
      <c r="Z204">
        <v>0</v>
      </c>
      <c r="AA204">
        <v>24</v>
      </c>
    </row>
    <row r="205" spans="1:27" x14ac:dyDescent="0.3">
      <c r="A205" s="1" t="s">
        <v>1165</v>
      </c>
      <c r="B205">
        <v>204</v>
      </c>
      <c r="C205" s="1" t="s">
        <v>1166</v>
      </c>
      <c r="D205" s="1" t="s">
        <v>1167</v>
      </c>
      <c r="E205" s="1" t="s">
        <v>32</v>
      </c>
      <c r="F205" s="1" t="s">
        <v>1168</v>
      </c>
      <c r="G205" s="1" t="s">
        <v>322</v>
      </c>
      <c r="H205" s="1" t="s">
        <v>32</v>
      </c>
      <c r="I205" s="1" t="s">
        <v>56</v>
      </c>
      <c r="J205" s="1" t="s">
        <v>33</v>
      </c>
      <c r="K205" s="1" t="s">
        <v>34</v>
      </c>
      <c r="L205">
        <v>2</v>
      </c>
      <c r="M205">
        <v>2</v>
      </c>
      <c r="N205">
        <v>1</v>
      </c>
      <c r="O205">
        <v>1</v>
      </c>
      <c r="P205">
        <v>5</v>
      </c>
      <c r="Q205">
        <v>0</v>
      </c>
      <c r="R205">
        <v>1</v>
      </c>
      <c r="S205">
        <v>0</v>
      </c>
      <c r="T205">
        <v>0</v>
      </c>
      <c r="U205" s="1" t="s">
        <v>561</v>
      </c>
      <c r="V205" s="1">
        <v>0</v>
      </c>
      <c r="W205" s="1">
        <f t="shared" si="3"/>
        <v>0</v>
      </c>
      <c r="X205" s="1" t="s">
        <v>561</v>
      </c>
      <c r="Y205">
        <v>1</v>
      </c>
      <c r="Z205">
        <v>0</v>
      </c>
      <c r="AA205">
        <v>25</v>
      </c>
    </row>
    <row r="206" spans="1:27" x14ac:dyDescent="0.3">
      <c r="A206" s="1" t="s">
        <v>1169</v>
      </c>
      <c r="B206">
        <v>205</v>
      </c>
      <c r="C206" s="1" t="s">
        <v>1170</v>
      </c>
      <c r="D206" s="1" t="s">
        <v>1171</v>
      </c>
      <c r="E206" s="1" t="s">
        <v>29</v>
      </c>
      <c r="F206" s="1" t="s">
        <v>216</v>
      </c>
      <c r="G206" s="1" t="s">
        <v>327</v>
      </c>
      <c r="H206" s="1" t="s">
        <v>41</v>
      </c>
      <c r="I206" s="1" t="s">
        <v>64</v>
      </c>
      <c r="J206" s="1" t="s">
        <v>29</v>
      </c>
      <c r="K206" s="1" t="s">
        <v>567</v>
      </c>
      <c r="L206">
        <v>2</v>
      </c>
      <c r="M206">
        <v>0</v>
      </c>
      <c r="N206">
        <v>0</v>
      </c>
      <c r="O206">
        <v>2</v>
      </c>
      <c r="P206">
        <v>2</v>
      </c>
      <c r="Q206">
        <v>0</v>
      </c>
      <c r="R206">
        <v>0</v>
      </c>
      <c r="S206">
        <v>0</v>
      </c>
      <c r="T206">
        <v>0</v>
      </c>
      <c r="U206" s="1" t="s">
        <v>568</v>
      </c>
      <c r="V206" s="1" t="s">
        <v>219</v>
      </c>
      <c r="W206" s="1">
        <f t="shared" si="3"/>
        <v>206.79</v>
      </c>
      <c r="X206" s="1" t="s">
        <v>569</v>
      </c>
      <c r="Y206">
        <v>1</v>
      </c>
      <c r="Z206">
        <v>0</v>
      </c>
      <c r="AA206">
        <v>26</v>
      </c>
    </row>
    <row r="207" spans="1:27" x14ac:dyDescent="0.3">
      <c r="A207" s="1" t="s">
        <v>1172</v>
      </c>
      <c r="B207">
        <v>206</v>
      </c>
      <c r="C207" s="1" t="s">
        <v>1173</v>
      </c>
      <c r="D207" s="1" t="s">
        <v>1174</v>
      </c>
      <c r="E207" s="1" t="s">
        <v>39</v>
      </c>
      <c r="F207" s="1" t="s">
        <v>1175</v>
      </c>
      <c r="G207" s="1" t="s">
        <v>334</v>
      </c>
      <c r="H207" s="1" t="s">
        <v>48</v>
      </c>
      <c r="I207" s="1" t="s">
        <v>64</v>
      </c>
      <c r="J207" s="1" t="s">
        <v>75</v>
      </c>
      <c r="K207" s="1" t="s">
        <v>574</v>
      </c>
      <c r="L207">
        <v>3</v>
      </c>
      <c r="M207">
        <v>0</v>
      </c>
      <c r="N207">
        <v>0</v>
      </c>
      <c r="O207">
        <v>3</v>
      </c>
      <c r="P207">
        <v>3</v>
      </c>
      <c r="Q207">
        <v>0</v>
      </c>
      <c r="R207">
        <v>0</v>
      </c>
      <c r="S207">
        <v>0</v>
      </c>
      <c r="T207">
        <v>0</v>
      </c>
      <c r="U207" s="1" t="s">
        <v>57</v>
      </c>
      <c r="V207" s="1" t="s">
        <v>226</v>
      </c>
      <c r="W207" s="1">
        <f t="shared" si="3"/>
        <v>94.92</v>
      </c>
      <c r="X207" s="1" t="s">
        <v>439</v>
      </c>
      <c r="Y207">
        <v>1</v>
      </c>
      <c r="Z207">
        <v>0</v>
      </c>
      <c r="AA207">
        <v>27</v>
      </c>
    </row>
    <row r="208" spans="1:27" x14ac:dyDescent="0.3">
      <c r="A208" s="1" t="s">
        <v>1176</v>
      </c>
      <c r="B208">
        <v>207</v>
      </c>
      <c r="C208" s="1" t="s">
        <v>1177</v>
      </c>
      <c r="D208" s="1" t="s">
        <v>1178</v>
      </c>
      <c r="E208" s="1" t="s">
        <v>41</v>
      </c>
      <c r="F208" s="1" t="s">
        <v>1179</v>
      </c>
      <c r="G208" s="1" t="s">
        <v>342</v>
      </c>
      <c r="H208" s="1" t="s">
        <v>55</v>
      </c>
      <c r="I208" s="1" t="s">
        <v>32</v>
      </c>
      <c r="J208" s="1" t="s">
        <v>75</v>
      </c>
      <c r="K208" s="1" t="s">
        <v>637</v>
      </c>
      <c r="L208">
        <v>3</v>
      </c>
      <c r="M208">
        <v>0</v>
      </c>
      <c r="N208">
        <v>0</v>
      </c>
      <c r="O208">
        <v>4</v>
      </c>
      <c r="P208">
        <v>3</v>
      </c>
      <c r="Q208">
        <v>0</v>
      </c>
      <c r="R208">
        <v>0</v>
      </c>
      <c r="S208">
        <v>1</v>
      </c>
      <c r="T208">
        <v>1</v>
      </c>
      <c r="U208" s="1" t="s">
        <v>637</v>
      </c>
      <c r="V208" s="1" t="s">
        <v>152</v>
      </c>
      <c r="W208" s="1">
        <f t="shared" si="3"/>
        <v>63.28</v>
      </c>
      <c r="X208" s="1">
        <v>419</v>
      </c>
      <c r="Y208">
        <v>1</v>
      </c>
      <c r="Z208">
        <v>1</v>
      </c>
      <c r="AA208">
        <v>28</v>
      </c>
    </row>
    <row r="209" spans="1:27" x14ac:dyDescent="0.3">
      <c r="A209" s="1" t="s">
        <v>1180</v>
      </c>
      <c r="B209">
        <v>208</v>
      </c>
      <c r="C209" s="1" t="s">
        <v>1181</v>
      </c>
      <c r="D209" s="1" t="s">
        <v>1182</v>
      </c>
      <c r="E209" s="1" t="s">
        <v>32</v>
      </c>
      <c r="F209" s="1" t="s">
        <v>238</v>
      </c>
      <c r="G209" s="1" t="s">
        <v>351</v>
      </c>
      <c r="H209" s="1" t="s">
        <v>63</v>
      </c>
      <c r="I209" s="1" t="s">
        <v>32</v>
      </c>
      <c r="J209" s="1" t="s">
        <v>41</v>
      </c>
      <c r="K209" s="1" t="s">
        <v>1183</v>
      </c>
      <c r="L209">
        <v>3</v>
      </c>
      <c r="M209">
        <v>1</v>
      </c>
      <c r="N209">
        <v>0</v>
      </c>
      <c r="O209">
        <v>5</v>
      </c>
      <c r="P209">
        <v>4</v>
      </c>
      <c r="Q209">
        <v>0</v>
      </c>
      <c r="R209">
        <v>0</v>
      </c>
      <c r="S209">
        <v>1</v>
      </c>
      <c r="T209">
        <v>1</v>
      </c>
      <c r="U209" s="1" t="s">
        <v>1184</v>
      </c>
      <c r="V209" s="1" t="s">
        <v>304</v>
      </c>
      <c r="W209" s="1">
        <f t="shared" si="3"/>
        <v>64.41</v>
      </c>
      <c r="X209" s="1" t="s">
        <v>378</v>
      </c>
      <c r="Y209">
        <v>1</v>
      </c>
      <c r="Z209">
        <v>1</v>
      </c>
      <c r="AA209">
        <v>29</v>
      </c>
    </row>
    <row r="210" spans="1:27" x14ac:dyDescent="0.3">
      <c r="A210" s="1" t="s">
        <v>1185</v>
      </c>
      <c r="B210">
        <v>209</v>
      </c>
      <c r="C210" s="1" t="s">
        <v>1186</v>
      </c>
      <c r="D210" s="1" t="s">
        <v>1187</v>
      </c>
      <c r="E210" s="1" t="s">
        <v>29</v>
      </c>
      <c r="F210" s="1" t="s">
        <v>1187</v>
      </c>
      <c r="G210" s="1" t="s">
        <v>358</v>
      </c>
      <c r="H210" s="1" t="s">
        <v>74</v>
      </c>
      <c r="I210" s="1" t="s">
        <v>32</v>
      </c>
      <c r="J210" s="1" t="s">
        <v>32</v>
      </c>
      <c r="K210" s="1" t="s">
        <v>1188</v>
      </c>
      <c r="L210">
        <v>3</v>
      </c>
      <c r="M210">
        <v>0</v>
      </c>
      <c r="N210">
        <v>0</v>
      </c>
      <c r="O210">
        <v>6</v>
      </c>
      <c r="P210">
        <v>3</v>
      </c>
      <c r="Q210">
        <v>0</v>
      </c>
      <c r="R210">
        <v>0</v>
      </c>
      <c r="S210">
        <v>1</v>
      </c>
      <c r="T210">
        <v>1</v>
      </c>
      <c r="U210" s="1" t="s">
        <v>1189</v>
      </c>
      <c r="V210" s="1" t="s">
        <v>1190</v>
      </c>
      <c r="W210" s="1">
        <f t="shared" si="3"/>
        <v>267.81</v>
      </c>
      <c r="X210" s="1" t="s">
        <v>310</v>
      </c>
      <c r="Y210">
        <v>1</v>
      </c>
      <c r="Z210">
        <v>1</v>
      </c>
      <c r="AA210">
        <v>30</v>
      </c>
    </row>
    <row r="211" spans="1:27" x14ac:dyDescent="0.3">
      <c r="A211" s="1" t="s">
        <v>1191</v>
      </c>
      <c r="B211">
        <v>210</v>
      </c>
      <c r="C211" s="1" t="s">
        <v>1192</v>
      </c>
      <c r="D211" s="1" t="s">
        <v>1193</v>
      </c>
      <c r="E211" s="1" t="s">
        <v>39</v>
      </c>
      <c r="F211" s="1" t="s">
        <v>1193</v>
      </c>
      <c r="G211" s="1" t="s">
        <v>364</v>
      </c>
      <c r="H211" s="1" t="s">
        <v>29</v>
      </c>
      <c r="I211" s="1" t="s">
        <v>32</v>
      </c>
      <c r="J211" s="1" t="s">
        <v>74</v>
      </c>
      <c r="K211" s="1" t="s">
        <v>1194</v>
      </c>
      <c r="L211">
        <v>1</v>
      </c>
      <c r="M211">
        <v>2</v>
      </c>
      <c r="N211">
        <v>0</v>
      </c>
      <c r="O211">
        <v>1</v>
      </c>
      <c r="P211">
        <v>3</v>
      </c>
      <c r="Q211">
        <v>0</v>
      </c>
      <c r="R211">
        <v>0</v>
      </c>
      <c r="S211">
        <v>1</v>
      </c>
      <c r="T211">
        <v>1</v>
      </c>
      <c r="U211" s="1" t="s">
        <v>1194</v>
      </c>
      <c r="V211" s="1" t="s">
        <v>177</v>
      </c>
      <c r="W211" s="1">
        <f t="shared" si="3"/>
        <v>61.02</v>
      </c>
      <c r="X211" s="1" t="s">
        <v>1195</v>
      </c>
      <c r="Y211">
        <v>1</v>
      </c>
      <c r="Z211">
        <v>1</v>
      </c>
      <c r="AA211">
        <v>31</v>
      </c>
    </row>
    <row r="212" spans="1:27" x14ac:dyDescent="0.3">
      <c r="A212" s="1" t="s">
        <v>1196</v>
      </c>
      <c r="B212">
        <v>211</v>
      </c>
      <c r="C212" s="1" t="s">
        <v>1197</v>
      </c>
      <c r="D212" s="1" t="s">
        <v>1198</v>
      </c>
      <c r="E212" s="1" t="s">
        <v>41</v>
      </c>
      <c r="F212" s="1" t="s">
        <v>117</v>
      </c>
      <c r="G212" s="1" t="s">
        <v>41</v>
      </c>
      <c r="H212" s="1" t="s">
        <v>32</v>
      </c>
      <c r="I212" s="1" t="s">
        <v>32</v>
      </c>
      <c r="J212" s="1" t="s">
        <v>29</v>
      </c>
      <c r="K212" s="1" t="s">
        <v>359</v>
      </c>
      <c r="L212">
        <v>1</v>
      </c>
      <c r="M212">
        <v>0</v>
      </c>
      <c r="N212">
        <v>0</v>
      </c>
      <c r="O212">
        <v>2</v>
      </c>
      <c r="P212">
        <v>1</v>
      </c>
      <c r="Q212">
        <v>0</v>
      </c>
      <c r="R212">
        <v>0</v>
      </c>
      <c r="S212">
        <v>1</v>
      </c>
      <c r="T212">
        <v>1</v>
      </c>
      <c r="U212" s="1" t="s">
        <v>360</v>
      </c>
      <c r="V212" s="1" t="s">
        <v>87</v>
      </c>
      <c r="W212" s="1">
        <f t="shared" si="3"/>
        <v>274.58999999999997</v>
      </c>
      <c r="X212" s="1" t="s">
        <v>468</v>
      </c>
      <c r="Y212">
        <v>1</v>
      </c>
      <c r="Z212">
        <v>1</v>
      </c>
      <c r="AA212">
        <v>32</v>
      </c>
    </row>
    <row r="213" spans="1:27" x14ac:dyDescent="0.3">
      <c r="A213" s="1" t="s">
        <v>1199</v>
      </c>
      <c r="B213">
        <v>212</v>
      </c>
      <c r="C213" s="1" t="s">
        <v>1200</v>
      </c>
      <c r="D213" s="1" t="s">
        <v>254</v>
      </c>
      <c r="E213" s="1" t="s">
        <v>32</v>
      </c>
      <c r="F213" s="1" t="s">
        <v>1201</v>
      </c>
      <c r="G213" s="1" t="s">
        <v>375</v>
      </c>
      <c r="H213" s="1" t="s">
        <v>41</v>
      </c>
      <c r="I213" s="1" t="s">
        <v>32</v>
      </c>
      <c r="J213" s="1" t="s">
        <v>75</v>
      </c>
      <c r="K213" s="1" t="s">
        <v>404</v>
      </c>
      <c r="L213">
        <v>1</v>
      </c>
      <c r="M213">
        <v>1</v>
      </c>
      <c r="N213">
        <v>0</v>
      </c>
      <c r="O213">
        <v>3</v>
      </c>
      <c r="P213">
        <v>2</v>
      </c>
      <c r="Q213">
        <v>0</v>
      </c>
      <c r="R213">
        <v>0</v>
      </c>
      <c r="S213">
        <v>1</v>
      </c>
      <c r="T213">
        <v>1</v>
      </c>
      <c r="U213" s="1" t="s">
        <v>405</v>
      </c>
      <c r="V213" s="1" t="s">
        <v>96</v>
      </c>
      <c r="W213" s="1">
        <f t="shared" si="3"/>
        <v>229.39</v>
      </c>
      <c r="X213" s="1" t="s">
        <v>323</v>
      </c>
      <c r="Y213">
        <v>1</v>
      </c>
      <c r="Z213">
        <v>1</v>
      </c>
      <c r="AA213">
        <v>33</v>
      </c>
    </row>
    <row r="214" spans="1:27" x14ac:dyDescent="0.3">
      <c r="A214" s="1" t="s">
        <v>1202</v>
      </c>
      <c r="B214">
        <v>213</v>
      </c>
      <c r="C214" s="1" t="s">
        <v>1203</v>
      </c>
      <c r="D214" s="1" t="s">
        <v>1204</v>
      </c>
      <c r="E214" s="1" t="s">
        <v>29</v>
      </c>
      <c r="F214" s="1" t="s">
        <v>1123</v>
      </c>
      <c r="G214" s="1" t="s">
        <v>382</v>
      </c>
      <c r="H214" s="1" t="s">
        <v>48</v>
      </c>
      <c r="I214" s="1" t="s">
        <v>32</v>
      </c>
      <c r="J214" s="1" t="s">
        <v>41</v>
      </c>
      <c r="K214" s="1" t="s">
        <v>409</v>
      </c>
      <c r="L214">
        <v>2</v>
      </c>
      <c r="M214">
        <v>0</v>
      </c>
      <c r="N214">
        <v>0</v>
      </c>
      <c r="O214">
        <v>4</v>
      </c>
      <c r="P214">
        <v>2</v>
      </c>
      <c r="Q214">
        <v>0</v>
      </c>
      <c r="R214">
        <v>0</v>
      </c>
      <c r="S214">
        <v>1</v>
      </c>
      <c r="T214">
        <v>1</v>
      </c>
      <c r="U214" s="1" t="s">
        <v>409</v>
      </c>
      <c r="V214" s="1" t="s">
        <v>104</v>
      </c>
      <c r="W214" s="1">
        <f t="shared" si="3"/>
        <v>76.84</v>
      </c>
      <c r="X214" s="1" t="s">
        <v>410</v>
      </c>
      <c r="Y214">
        <v>1</v>
      </c>
      <c r="Z214">
        <v>1</v>
      </c>
      <c r="AA214">
        <v>34</v>
      </c>
    </row>
    <row r="215" spans="1:27" x14ac:dyDescent="0.3">
      <c r="A215" s="1" t="s">
        <v>1205</v>
      </c>
      <c r="B215">
        <v>214</v>
      </c>
      <c r="C215" s="1" t="s">
        <v>1206</v>
      </c>
      <c r="D215" s="1" t="s">
        <v>1207</v>
      </c>
      <c r="E215" s="1" t="s">
        <v>39</v>
      </c>
      <c r="F215" s="1" t="s">
        <v>141</v>
      </c>
      <c r="G215" s="1" t="s">
        <v>388</v>
      </c>
      <c r="H215" s="1" t="s">
        <v>55</v>
      </c>
      <c r="I215" s="1" t="s">
        <v>32</v>
      </c>
      <c r="J215" s="1" t="s">
        <v>32</v>
      </c>
      <c r="K215" s="1" t="s">
        <v>414</v>
      </c>
      <c r="L215">
        <v>2</v>
      </c>
      <c r="M215">
        <v>0</v>
      </c>
      <c r="N215">
        <v>0</v>
      </c>
      <c r="O215">
        <v>5</v>
      </c>
      <c r="P215">
        <v>2</v>
      </c>
      <c r="Q215">
        <v>0</v>
      </c>
      <c r="R215">
        <v>0</v>
      </c>
      <c r="S215">
        <v>1</v>
      </c>
      <c r="T215">
        <v>1</v>
      </c>
      <c r="U215" s="1" t="s">
        <v>415</v>
      </c>
      <c r="V215" s="1" t="s">
        <v>111</v>
      </c>
      <c r="W215" s="1">
        <f t="shared" si="3"/>
        <v>80.229999999999905</v>
      </c>
      <c r="X215" s="1" t="s">
        <v>416</v>
      </c>
      <c r="Y215">
        <v>1</v>
      </c>
      <c r="Z215">
        <v>1</v>
      </c>
      <c r="AA215">
        <v>35</v>
      </c>
    </row>
    <row r="216" spans="1:27" x14ac:dyDescent="0.3">
      <c r="A216" s="1" t="s">
        <v>1208</v>
      </c>
      <c r="B216">
        <v>215</v>
      </c>
      <c r="C216" s="1" t="s">
        <v>1209</v>
      </c>
      <c r="D216" s="1" t="s">
        <v>1210</v>
      </c>
      <c r="E216" s="1" t="s">
        <v>41</v>
      </c>
      <c r="F216" s="1" t="s">
        <v>150</v>
      </c>
      <c r="G216" s="1" t="s">
        <v>395</v>
      </c>
      <c r="H216" s="1" t="s">
        <v>63</v>
      </c>
      <c r="I216" s="1" t="s">
        <v>32</v>
      </c>
      <c r="J216" s="1" t="s">
        <v>74</v>
      </c>
      <c r="K216" s="1" t="s">
        <v>1211</v>
      </c>
      <c r="L216">
        <v>2</v>
      </c>
      <c r="M216">
        <v>0</v>
      </c>
      <c r="N216">
        <v>0</v>
      </c>
      <c r="O216">
        <v>6</v>
      </c>
      <c r="P216">
        <v>2</v>
      </c>
      <c r="Q216">
        <v>0</v>
      </c>
      <c r="R216">
        <v>0</v>
      </c>
      <c r="S216">
        <v>1</v>
      </c>
      <c r="T216">
        <v>1</v>
      </c>
      <c r="U216" s="1" t="s">
        <v>1212</v>
      </c>
      <c r="V216" s="1" t="s">
        <v>345</v>
      </c>
      <c r="W216" s="1">
        <f t="shared" si="3"/>
        <v>265.32</v>
      </c>
      <c r="X216" s="1" t="s">
        <v>1213</v>
      </c>
      <c r="Y216">
        <v>1</v>
      </c>
      <c r="Z216">
        <v>1</v>
      </c>
      <c r="AA216">
        <v>36</v>
      </c>
    </row>
    <row r="217" spans="1:27" x14ac:dyDescent="0.3">
      <c r="A217" s="1" t="s">
        <v>1214</v>
      </c>
      <c r="B217">
        <v>216</v>
      </c>
      <c r="C217" s="1" t="s">
        <v>1215</v>
      </c>
      <c r="D217" s="1" t="s">
        <v>1216</v>
      </c>
      <c r="E217" s="1" t="s">
        <v>32</v>
      </c>
      <c r="F217" s="1" t="s">
        <v>1136</v>
      </c>
      <c r="G217" s="1" t="s">
        <v>403</v>
      </c>
      <c r="H217" s="1" t="s">
        <v>74</v>
      </c>
      <c r="I217" s="1" t="s">
        <v>32</v>
      </c>
      <c r="J217" s="1" t="s">
        <v>29</v>
      </c>
      <c r="K217" s="1" t="s">
        <v>1217</v>
      </c>
      <c r="L217">
        <v>3</v>
      </c>
      <c r="M217">
        <v>2</v>
      </c>
      <c r="N217">
        <v>1</v>
      </c>
      <c r="O217">
        <v>1</v>
      </c>
      <c r="P217">
        <v>6</v>
      </c>
      <c r="Q217">
        <v>0</v>
      </c>
      <c r="R217">
        <v>0</v>
      </c>
      <c r="S217">
        <v>1</v>
      </c>
      <c r="T217">
        <v>1</v>
      </c>
      <c r="U217" s="1" t="s">
        <v>1217</v>
      </c>
      <c r="V217" s="1" t="s">
        <v>353</v>
      </c>
      <c r="W217" s="1">
        <f t="shared" si="3"/>
        <v>42.71</v>
      </c>
      <c r="X217" s="1" t="s">
        <v>497</v>
      </c>
      <c r="Y217">
        <v>1</v>
      </c>
      <c r="Z217">
        <v>1</v>
      </c>
      <c r="AA217">
        <v>37</v>
      </c>
    </row>
    <row r="218" spans="1:27" x14ac:dyDescent="0.3">
      <c r="A218" s="1" t="s">
        <v>1218</v>
      </c>
      <c r="B218">
        <v>217</v>
      </c>
      <c r="C218" s="1" t="s">
        <v>1219</v>
      </c>
      <c r="D218" s="1" t="s">
        <v>1220</v>
      </c>
      <c r="E218" s="1" t="s">
        <v>29</v>
      </c>
      <c r="F218" s="1" t="s">
        <v>1221</v>
      </c>
      <c r="G218" s="1" t="s">
        <v>408</v>
      </c>
      <c r="H218" s="1" t="s">
        <v>29</v>
      </c>
      <c r="I218" s="1" t="s">
        <v>32</v>
      </c>
      <c r="J218" s="1" t="s">
        <v>75</v>
      </c>
      <c r="K218" s="1" t="s">
        <v>359</v>
      </c>
      <c r="L218">
        <v>3</v>
      </c>
      <c r="M218">
        <v>0</v>
      </c>
      <c r="N218">
        <v>0</v>
      </c>
      <c r="O218">
        <v>2</v>
      </c>
      <c r="P218">
        <v>3</v>
      </c>
      <c r="Q218">
        <v>0</v>
      </c>
      <c r="R218">
        <v>0</v>
      </c>
      <c r="S218">
        <v>1</v>
      </c>
      <c r="T218">
        <v>1</v>
      </c>
      <c r="U218" s="1" t="s">
        <v>360</v>
      </c>
      <c r="V218" s="1" t="s">
        <v>288</v>
      </c>
      <c r="W218" s="1">
        <f t="shared" si="3"/>
        <v>301.70999999999998</v>
      </c>
      <c r="X218" s="1" t="s">
        <v>361</v>
      </c>
      <c r="Y218">
        <v>1</v>
      </c>
      <c r="Z218">
        <v>1</v>
      </c>
      <c r="AA218">
        <v>38</v>
      </c>
    </row>
    <row r="219" spans="1:27" x14ac:dyDescent="0.3">
      <c r="A219" s="1" t="s">
        <v>1222</v>
      </c>
      <c r="B219">
        <v>218</v>
      </c>
      <c r="C219" s="1" t="s">
        <v>1223</v>
      </c>
      <c r="D219" s="1" t="s">
        <v>292</v>
      </c>
      <c r="E219" s="1" t="s">
        <v>39</v>
      </c>
      <c r="F219" s="1" t="s">
        <v>1224</v>
      </c>
      <c r="G219" s="1" t="s">
        <v>413</v>
      </c>
      <c r="H219" s="1" t="s">
        <v>32</v>
      </c>
      <c r="I219" s="1" t="s">
        <v>32</v>
      </c>
      <c r="J219" s="1" t="s">
        <v>41</v>
      </c>
      <c r="K219" s="1" t="s">
        <v>631</v>
      </c>
      <c r="L219">
        <v>3</v>
      </c>
      <c r="M219">
        <v>0</v>
      </c>
      <c r="N219">
        <v>0</v>
      </c>
      <c r="O219">
        <v>3</v>
      </c>
      <c r="P219">
        <v>3</v>
      </c>
      <c r="Q219">
        <v>0</v>
      </c>
      <c r="R219">
        <v>0</v>
      </c>
      <c r="S219">
        <v>1</v>
      </c>
      <c r="T219">
        <v>1</v>
      </c>
      <c r="U219" s="1" t="s">
        <v>632</v>
      </c>
      <c r="V219" s="1" t="s">
        <v>144</v>
      </c>
      <c r="W219" s="1">
        <f t="shared" si="3"/>
        <v>202.26999999999899</v>
      </c>
      <c r="X219" s="1" t="s">
        <v>510</v>
      </c>
      <c r="Y219">
        <v>1</v>
      </c>
      <c r="Z219">
        <v>1</v>
      </c>
      <c r="AA219">
        <v>39</v>
      </c>
    </row>
    <row r="220" spans="1:27" x14ac:dyDescent="0.3">
      <c r="A220" s="1" t="s">
        <v>1225</v>
      </c>
      <c r="B220">
        <v>219</v>
      </c>
      <c r="C220" s="1" t="s">
        <v>1226</v>
      </c>
      <c r="D220" s="1" t="s">
        <v>74</v>
      </c>
      <c r="E220" s="1" t="s">
        <v>41</v>
      </c>
      <c r="F220" s="1" t="s">
        <v>1227</v>
      </c>
      <c r="G220" s="1" t="s">
        <v>420</v>
      </c>
      <c r="H220" s="1" t="s">
        <v>41</v>
      </c>
      <c r="I220" s="1" t="s">
        <v>32</v>
      </c>
      <c r="J220" s="1" t="s">
        <v>32</v>
      </c>
      <c r="K220" s="1" t="s">
        <v>370</v>
      </c>
      <c r="L220">
        <v>3</v>
      </c>
      <c r="M220">
        <v>0</v>
      </c>
      <c r="N220">
        <v>0</v>
      </c>
      <c r="O220">
        <v>4</v>
      </c>
      <c r="P220">
        <v>3</v>
      </c>
      <c r="Q220">
        <v>0</v>
      </c>
      <c r="R220">
        <v>0</v>
      </c>
      <c r="S220">
        <v>1</v>
      </c>
      <c r="T220">
        <v>1</v>
      </c>
      <c r="U220" s="1" t="s">
        <v>370</v>
      </c>
      <c r="V220" s="1" t="s">
        <v>152</v>
      </c>
      <c r="W220" s="1">
        <f t="shared" si="3"/>
        <v>63.28</v>
      </c>
      <c r="X220" s="1" t="s">
        <v>371</v>
      </c>
      <c r="Y220">
        <v>1</v>
      </c>
      <c r="Z220">
        <v>1</v>
      </c>
      <c r="AA220">
        <v>40</v>
      </c>
    </row>
    <row r="221" spans="1:27" x14ac:dyDescent="0.3">
      <c r="A221" s="1" t="s">
        <v>1228</v>
      </c>
      <c r="B221">
        <v>220</v>
      </c>
      <c r="C221" s="1" t="s">
        <v>1229</v>
      </c>
      <c r="D221" s="1" t="s">
        <v>427</v>
      </c>
      <c r="E221" s="1" t="s">
        <v>32</v>
      </c>
      <c r="F221" s="1" t="s">
        <v>427</v>
      </c>
      <c r="G221" s="1" t="s">
        <v>427</v>
      </c>
      <c r="H221" s="1" t="s">
        <v>48</v>
      </c>
      <c r="I221" s="1" t="s">
        <v>32</v>
      </c>
      <c r="J221" s="1" t="s">
        <v>74</v>
      </c>
      <c r="K221" s="1" t="s">
        <v>642</v>
      </c>
      <c r="L221">
        <v>1</v>
      </c>
      <c r="M221">
        <v>1</v>
      </c>
      <c r="N221">
        <v>0</v>
      </c>
      <c r="O221">
        <v>5</v>
      </c>
      <c r="P221">
        <v>2</v>
      </c>
      <c r="Q221">
        <v>0</v>
      </c>
      <c r="R221">
        <v>0</v>
      </c>
      <c r="S221">
        <v>1</v>
      </c>
      <c r="T221">
        <v>1</v>
      </c>
      <c r="U221" s="1" t="s">
        <v>643</v>
      </c>
      <c r="V221" s="1" t="s">
        <v>161</v>
      </c>
      <c r="W221" s="1">
        <f t="shared" si="3"/>
        <v>66.67</v>
      </c>
      <c r="X221" s="1" t="s">
        <v>644</v>
      </c>
      <c r="Y221">
        <v>1</v>
      </c>
      <c r="Z221">
        <v>1</v>
      </c>
      <c r="AA221">
        <v>41</v>
      </c>
    </row>
    <row r="222" spans="1:27" x14ac:dyDescent="0.3">
      <c r="A222" s="1" t="s">
        <v>1230</v>
      </c>
      <c r="B222">
        <v>221</v>
      </c>
      <c r="C222" s="1" t="s">
        <v>1231</v>
      </c>
      <c r="D222" s="1" t="s">
        <v>1232</v>
      </c>
      <c r="E222" s="1" t="s">
        <v>29</v>
      </c>
      <c r="F222" s="1" t="s">
        <v>1233</v>
      </c>
      <c r="G222" s="1" t="s">
        <v>433</v>
      </c>
      <c r="H222" s="1" t="s">
        <v>55</v>
      </c>
      <c r="I222" s="1" t="s">
        <v>33</v>
      </c>
      <c r="J222" s="1" t="s">
        <v>33</v>
      </c>
      <c r="K222" s="1" t="s">
        <v>34</v>
      </c>
      <c r="L222">
        <v>1</v>
      </c>
      <c r="M222">
        <v>0</v>
      </c>
      <c r="N222">
        <v>0</v>
      </c>
      <c r="O222">
        <v>6</v>
      </c>
      <c r="P222">
        <v>1</v>
      </c>
      <c r="Q222">
        <v>1</v>
      </c>
      <c r="R222">
        <v>0</v>
      </c>
      <c r="S222">
        <v>0</v>
      </c>
      <c r="T222">
        <v>0</v>
      </c>
      <c r="U222" s="1" t="s">
        <v>310</v>
      </c>
      <c r="V222" s="1">
        <v>0</v>
      </c>
      <c r="W222" s="1">
        <f t="shared" si="3"/>
        <v>0</v>
      </c>
      <c r="X222" s="1" t="s">
        <v>310</v>
      </c>
      <c r="Y222">
        <v>1</v>
      </c>
      <c r="Z222">
        <v>0</v>
      </c>
      <c r="AA222">
        <v>42</v>
      </c>
    </row>
    <row r="223" spans="1:27" x14ac:dyDescent="0.3">
      <c r="A223" s="1" t="s">
        <v>1234</v>
      </c>
      <c r="B223">
        <v>222</v>
      </c>
      <c r="C223" s="1" t="s">
        <v>1235</v>
      </c>
      <c r="D223" s="1" t="s">
        <v>1236</v>
      </c>
      <c r="E223" s="1" t="s">
        <v>39</v>
      </c>
      <c r="F223" s="1" t="s">
        <v>1161</v>
      </c>
      <c r="G223" s="1" t="s">
        <v>438</v>
      </c>
      <c r="H223" s="1" t="s">
        <v>63</v>
      </c>
      <c r="I223" s="1" t="s">
        <v>33</v>
      </c>
      <c r="J223" s="1" t="s">
        <v>33</v>
      </c>
      <c r="K223" s="1" t="s">
        <v>34</v>
      </c>
      <c r="L223">
        <v>1</v>
      </c>
      <c r="M223">
        <v>2</v>
      </c>
      <c r="N223">
        <v>0</v>
      </c>
      <c r="O223">
        <v>1</v>
      </c>
      <c r="P223">
        <v>3</v>
      </c>
      <c r="Q223">
        <v>1</v>
      </c>
      <c r="R223">
        <v>0</v>
      </c>
      <c r="S223">
        <v>0</v>
      </c>
      <c r="T223">
        <v>0</v>
      </c>
      <c r="U223" s="1" t="s">
        <v>314</v>
      </c>
      <c r="V223" s="1">
        <v>0</v>
      </c>
      <c r="W223" s="1">
        <f t="shared" si="3"/>
        <v>0</v>
      </c>
      <c r="X223" s="1" t="s">
        <v>314</v>
      </c>
      <c r="Y223">
        <v>1</v>
      </c>
      <c r="Z223">
        <v>0</v>
      </c>
      <c r="AA223">
        <v>43</v>
      </c>
    </row>
    <row r="224" spans="1:27" x14ac:dyDescent="0.3">
      <c r="A224" s="1" t="s">
        <v>1237</v>
      </c>
      <c r="B224">
        <v>223</v>
      </c>
      <c r="C224" s="1" t="s">
        <v>1238</v>
      </c>
      <c r="D224" s="1" t="s">
        <v>1239</v>
      </c>
      <c r="E224" s="1" t="s">
        <v>41</v>
      </c>
      <c r="F224" s="1" t="s">
        <v>318</v>
      </c>
      <c r="G224" s="1" t="s">
        <v>444</v>
      </c>
      <c r="H224" s="1" t="s">
        <v>74</v>
      </c>
      <c r="I224" s="1" t="s">
        <v>33</v>
      </c>
      <c r="J224" s="1" t="s">
        <v>33</v>
      </c>
      <c r="K224" s="1" t="s">
        <v>34</v>
      </c>
      <c r="L224">
        <v>2</v>
      </c>
      <c r="M224">
        <v>0</v>
      </c>
      <c r="N224">
        <v>0</v>
      </c>
      <c r="O224">
        <v>2</v>
      </c>
      <c r="P224">
        <v>2</v>
      </c>
      <c r="Q224">
        <v>1</v>
      </c>
      <c r="R224">
        <v>0</v>
      </c>
      <c r="S224">
        <v>0</v>
      </c>
      <c r="T224">
        <v>0</v>
      </c>
      <c r="U224" s="1" t="s">
        <v>319</v>
      </c>
      <c r="V224" s="1">
        <v>0</v>
      </c>
      <c r="W224" s="1">
        <f t="shared" si="3"/>
        <v>0</v>
      </c>
      <c r="X224" s="1" t="s">
        <v>319</v>
      </c>
      <c r="Y224">
        <v>1</v>
      </c>
      <c r="Z224">
        <v>0</v>
      </c>
      <c r="AA224">
        <v>44</v>
      </c>
    </row>
    <row r="225" spans="1:27" x14ac:dyDescent="0.3">
      <c r="A225" s="1" t="s">
        <v>1240</v>
      </c>
      <c r="B225">
        <v>224</v>
      </c>
      <c r="C225" s="1" t="s">
        <v>1241</v>
      </c>
      <c r="D225" s="1" t="s">
        <v>1242</v>
      </c>
      <c r="E225" s="1" t="s">
        <v>32</v>
      </c>
      <c r="F225" s="1" t="s">
        <v>322</v>
      </c>
      <c r="G225" s="1" t="s">
        <v>448</v>
      </c>
      <c r="H225" s="1" t="s">
        <v>29</v>
      </c>
      <c r="I225" s="1" t="s">
        <v>56</v>
      </c>
      <c r="J225" s="1" t="s">
        <v>33</v>
      </c>
      <c r="K225" s="1" t="s">
        <v>34</v>
      </c>
      <c r="L225">
        <v>2</v>
      </c>
      <c r="M225">
        <v>1</v>
      </c>
      <c r="N225">
        <v>0</v>
      </c>
      <c r="O225">
        <v>3</v>
      </c>
      <c r="P225">
        <v>3</v>
      </c>
      <c r="Q225">
        <v>0</v>
      </c>
      <c r="R225">
        <v>1</v>
      </c>
      <c r="S225">
        <v>0</v>
      </c>
      <c r="T225">
        <v>0</v>
      </c>
      <c r="U225" s="1" t="s">
        <v>323</v>
      </c>
      <c r="V225" s="1">
        <v>0</v>
      </c>
      <c r="W225" s="1">
        <f t="shared" si="3"/>
        <v>0</v>
      </c>
      <c r="X225" s="1" t="s">
        <v>323</v>
      </c>
      <c r="Y225">
        <v>1</v>
      </c>
      <c r="Z225">
        <v>0</v>
      </c>
      <c r="AA225">
        <v>45</v>
      </c>
    </row>
    <row r="226" spans="1:27" x14ac:dyDescent="0.3">
      <c r="A226" s="1" t="s">
        <v>1243</v>
      </c>
      <c r="B226">
        <v>225</v>
      </c>
      <c r="C226" s="1" t="s">
        <v>1244</v>
      </c>
      <c r="D226" s="1" t="s">
        <v>1245</v>
      </c>
      <c r="E226" s="1" t="s">
        <v>29</v>
      </c>
      <c r="F226" s="1" t="s">
        <v>327</v>
      </c>
      <c r="G226" s="1" t="s">
        <v>453</v>
      </c>
      <c r="H226" s="1" t="s">
        <v>32</v>
      </c>
      <c r="I226" s="1" t="s">
        <v>64</v>
      </c>
      <c r="J226" s="1" t="s">
        <v>75</v>
      </c>
      <c r="K226" s="1" t="s">
        <v>328</v>
      </c>
      <c r="L226">
        <v>2</v>
      </c>
      <c r="M226">
        <v>0</v>
      </c>
      <c r="N226">
        <v>0</v>
      </c>
      <c r="O226">
        <v>4</v>
      </c>
      <c r="P226">
        <v>2</v>
      </c>
      <c r="Q226">
        <v>0</v>
      </c>
      <c r="R226">
        <v>0</v>
      </c>
      <c r="S226">
        <v>0</v>
      </c>
      <c r="T226">
        <v>0</v>
      </c>
      <c r="U226" s="1" t="s">
        <v>329</v>
      </c>
      <c r="V226" s="1" t="s">
        <v>104</v>
      </c>
      <c r="W226" s="1">
        <f t="shared" si="3"/>
        <v>76.84</v>
      </c>
      <c r="X226" s="1" t="s">
        <v>330</v>
      </c>
      <c r="Y226">
        <v>1</v>
      </c>
      <c r="Z226">
        <v>0</v>
      </c>
      <c r="AA226">
        <v>46</v>
      </c>
    </row>
    <row r="227" spans="1:27" x14ac:dyDescent="0.3">
      <c r="A227" s="1" t="s">
        <v>1246</v>
      </c>
      <c r="B227">
        <v>226</v>
      </c>
      <c r="C227" s="1" t="s">
        <v>1247</v>
      </c>
      <c r="D227" s="1" t="s">
        <v>460</v>
      </c>
      <c r="E227" s="1" t="s">
        <v>39</v>
      </c>
      <c r="F227" s="1" t="s">
        <v>1248</v>
      </c>
      <c r="G227" s="1" t="s">
        <v>460</v>
      </c>
      <c r="H227" s="1" t="s">
        <v>41</v>
      </c>
      <c r="I227" s="1" t="s">
        <v>64</v>
      </c>
      <c r="J227" s="1" t="s">
        <v>41</v>
      </c>
      <c r="K227" s="1" t="s">
        <v>335</v>
      </c>
      <c r="L227">
        <v>3</v>
      </c>
      <c r="M227">
        <v>0</v>
      </c>
      <c r="N227">
        <v>0</v>
      </c>
      <c r="O227">
        <v>5</v>
      </c>
      <c r="P227">
        <v>3</v>
      </c>
      <c r="Q227">
        <v>0</v>
      </c>
      <c r="R227">
        <v>0</v>
      </c>
      <c r="S227">
        <v>0</v>
      </c>
      <c r="T227">
        <v>0</v>
      </c>
      <c r="U227" s="1" t="s">
        <v>336</v>
      </c>
      <c r="V227" s="1" t="s">
        <v>304</v>
      </c>
      <c r="W227" s="1">
        <f t="shared" si="3"/>
        <v>64.41</v>
      </c>
      <c r="X227" s="1" t="s">
        <v>337</v>
      </c>
      <c r="Y227">
        <v>1</v>
      </c>
      <c r="Z227">
        <v>0</v>
      </c>
      <c r="AA227">
        <v>47</v>
      </c>
    </row>
    <row r="228" spans="1:27" x14ac:dyDescent="0.3">
      <c r="A228" s="1" t="s">
        <v>1249</v>
      </c>
      <c r="B228">
        <v>227</v>
      </c>
      <c r="C228" s="1" t="s">
        <v>1250</v>
      </c>
      <c r="D228" s="1" t="s">
        <v>342</v>
      </c>
      <c r="E228" s="1" t="s">
        <v>41</v>
      </c>
      <c r="F228" s="1" t="s">
        <v>1251</v>
      </c>
      <c r="G228" s="1" t="s">
        <v>467</v>
      </c>
      <c r="H228" s="1" t="s">
        <v>48</v>
      </c>
      <c r="I228" s="1" t="s">
        <v>32</v>
      </c>
      <c r="J228" s="1" t="s">
        <v>41</v>
      </c>
      <c r="K228" s="1" t="s">
        <v>421</v>
      </c>
      <c r="L228">
        <v>3</v>
      </c>
      <c r="M228">
        <v>0</v>
      </c>
      <c r="N228">
        <v>0</v>
      </c>
      <c r="O228">
        <v>6</v>
      </c>
      <c r="P228">
        <v>3</v>
      </c>
      <c r="Q228">
        <v>0</v>
      </c>
      <c r="R228">
        <v>0</v>
      </c>
      <c r="S228">
        <v>1</v>
      </c>
      <c r="T228">
        <v>1</v>
      </c>
      <c r="U228" s="1" t="s">
        <v>422</v>
      </c>
      <c r="V228" s="1" t="s">
        <v>169</v>
      </c>
      <c r="W228" s="1">
        <f t="shared" si="3"/>
        <v>270.07</v>
      </c>
      <c r="X228" s="1" t="s">
        <v>346</v>
      </c>
      <c r="Y228">
        <v>1</v>
      </c>
      <c r="Z228">
        <v>1</v>
      </c>
      <c r="AA228">
        <v>48</v>
      </c>
    </row>
    <row r="229" spans="1:27" x14ac:dyDescent="0.3">
      <c r="A229" s="1" t="s">
        <v>1252</v>
      </c>
      <c r="B229">
        <v>228</v>
      </c>
      <c r="C229" s="1" t="s">
        <v>1253</v>
      </c>
      <c r="D229" s="1" t="s">
        <v>472</v>
      </c>
      <c r="E229" s="1" t="s">
        <v>32</v>
      </c>
      <c r="F229" s="1" t="s">
        <v>351</v>
      </c>
      <c r="G229" s="1" t="s">
        <v>472</v>
      </c>
      <c r="H229" s="1" t="s">
        <v>55</v>
      </c>
      <c r="I229" s="1" t="s">
        <v>32</v>
      </c>
      <c r="J229" s="1" t="s">
        <v>32</v>
      </c>
      <c r="K229" s="1" t="s">
        <v>462</v>
      </c>
      <c r="L229">
        <v>3</v>
      </c>
      <c r="M229">
        <v>2</v>
      </c>
      <c r="N229">
        <v>1</v>
      </c>
      <c r="O229">
        <v>1</v>
      </c>
      <c r="P229">
        <v>6</v>
      </c>
      <c r="Q229">
        <v>0</v>
      </c>
      <c r="R229">
        <v>0</v>
      </c>
      <c r="S229">
        <v>1</v>
      </c>
      <c r="T229">
        <v>1</v>
      </c>
      <c r="U229" s="1" t="s">
        <v>462</v>
      </c>
      <c r="V229" s="1" t="s">
        <v>127</v>
      </c>
      <c r="W229" s="1">
        <f t="shared" si="3"/>
        <v>47.46</v>
      </c>
      <c r="X229" s="1" t="s">
        <v>354</v>
      </c>
      <c r="Y229">
        <v>1</v>
      </c>
      <c r="Z229">
        <v>1</v>
      </c>
      <c r="AA229">
        <v>49</v>
      </c>
    </row>
    <row r="230" spans="1:27" x14ac:dyDescent="0.3">
      <c r="A230" s="1" t="s">
        <v>1254</v>
      </c>
      <c r="B230">
        <v>229</v>
      </c>
      <c r="C230" s="1" t="s">
        <v>1255</v>
      </c>
      <c r="D230" s="1" t="s">
        <v>1256</v>
      </c>
      <c r="E230" s="1" t="s">
        <v>29</v>
      </c>
      <c r="F230" s="1" t="s">
        <v>358</v>
      </c>
      <c r="G230" s="1" t="s">
        <v>480</v>
      </c>
      <c r="H230" s="1" t="s">
        <v>63</v>
      </c>
      <c r="I230" s="1" t="s">
        <v>32</v>
      </c>
      <c r="J230" s="1" t="s">
        <v>74</v>
      </c>
      <c r="K230" s="1" t="s">
        <v>1257</v>
      </c>
      <c r="L230">
        <v>3</v>
      </c>
      <c r="M230">
        <v>0</v>
      </c>
      <c r="N230">
        <v>0</v>
      </c>
      <c r="O230">
        <v>2</v>
      </c>
      <c r="P230">
        <v>3</v>
      </c>
      <c r="Q230">
        <v>0</v>
      </c>
      <c r="R230">
        <v>0</v>
      </c>
      <c r="S230">
        <v>1</v>
      </c>
      <c r="T230">
        <v>1</v>
      </c>
      <c r="U230" s="1" t="s">
        <v>1258</v>
      </c>
      <c r="V230" s="1" t="s">
        <v>1259</v>
      </c>
      <c r="W230" s="1">
        <f t="shared" si="3"/>
        <v>292.22000000000003</v>
      </c>
      <c r="X230" s="1" t="s">
        <v>626</v>
      </c>
      <c r="Y230">
        <v>1</v>
      </c>
      <c r="Z230">
        <v>1</v>
      </c>
      <c r="AA230">
        <v>50</v>
      </c>
    </row>
    <row r="231" spans="1:27" x14ac:dyDescent="0.3">
      <c r="A231" s="1" t="s">
        <v>1260</v>
      </c>
      <c r="B231">
        <v>230</v>
      </c>
      <c r="C231" s="1" t="s">
        <v>1261</v>
      </c>
      <c r="D231" s="1" t="s">
        <v>1262</v>
      </c>
      <c r="E231" s="1" t="s">
        <v>39</v>
      </c>
      <c r="F231" s="1" t="s">
        <v>1263</v>
      </c>
      <c r="G231" s="1" t="s">
        <v>39</v>
      </c>
      <c r="H231" s="1" t="s">
        <v>74</v>
      </c>
      <c r="I231" s="1" t="s">
        <v>32</v>
      </c>
      <c r="J231" s="1" t="s">
        <v>29</v>
      </c>
      <c r="K231" s="1" t="s">
        <v>1264</v>
      </c>
      <c r="L231">
        <v>1</v>
      </c>
      <c r="M231">
        <v>0</v>
      </c>
      <c r="N231">
        <v>0</v>
      </c>
      <c r="O231">
        <v>3</v>
      </c>
      <c r="P231">
        <v>1</v>
      </c>
      <c r="Q231">
        <v>0</v>
      </c>
      <c r="R231">
        <v>0</v>
      </c>
      <c r="S231">
        <v>1</v>
      </c>
      <c r="T231">
        <v>1</v>
      </c>
      <c r="U231" s="1" t="s">
        <v>1265</v>
      </c>
      <c r="V231" s="1" t="s">
        <v>1266</v>
      </c>
      <c r="W231" s="1">
        <f t="shared" si="3"/>
        <v>192.78</v>
      </c>
      <c r="X231" s="1" t="s">
        <v>367</v>
      </c>
      <c r="Y231">
        <v>1</v>
      </c>
      <c r="Z231">
        <v>1</v>
      </c>
      <c r="AA231">
        <v>51</v>
      </c>
    </row>
    <row r="232" spans="1:27" x14ac:dyDescent="0.3">
      <c r="A232" s="1" t="s">
        <v>1267</v>
      </c>
      <c r="B232">
        <v>231</v>
      </c>
      <c r="C232" s="1" t="s">
        <v>1268</v>
      </c>
      <c r="D232" s="1" t="s">
        <v>1269</v>
      </c>
      <c r="E232" s="1" t="s">
        <v>41</v>
      </c>
      <c r="F232" s="1" t="s">
        <v>1270</v>
      </c>
      <c r="G232" s="1" t="s">
        <v>492</v>
      </c>
      <c r="H232" s="1" t="s">
        <v>29</v>
      </c>
      <c r="I232" s="1" t="s">
        <v>32</v>
      </c>
      <c r="J232" s="1" t="s">
        <v>75</v>
      </c>
      <c r="K232" s="1" t="s">
        <v>370</v>
      </c>
      <c r="L232">
        <v>1</v>
      </c>
      <c r="M232">
        <v>0</v>
      </c>
      <c r="N232">
        <v>0</v>
      </c>
      <c r="O232">
        <v>4</v>
      </c>
      <c r="P232">
        <v>1</v>
      </c>
      <c r="Q232">
        <v>0</v>
      </c>
      <c r="R232">
        <v>0</v>
      </c>
      <c r="S232">
        <v>1</v>
      </c>
      <c r="T232">
        <v>1</v>
      </c>
      <c r="U232" s="1" t="s">
        <v>370</v>
      </c>
      <c r="V232" s="1" t="s">
        <v>152</v>
      </c>
      <c r="W232" s="1">
        <f t="shared" si="3"/>
        <v>63.28</v>
      </c>
      <c r="X232" s="1" t="s">
        <v>371</v>
      </c>
      <c r="Y232">
        <v>1</v>
      </c>
      <c r="Z232">
        <v>1</v>
      </c>
      <c r="AA232">
        <v>52</v>
      </c>
    </row>
    <row r="233" spans="1:27" x14ac:dyDescent="0.3">
      <c r="A233" s="1" t="s">
        <v>1271</v>
      </c>
      <c r="B233">
        <v>232</v>
      </c>
      <c r="C233" s="1" t="s">
        <v>1272</v>
      </c>
      <c r="D233" s="1" t="s">
        <v>1273</v>
      </c>
      <c r="E233" s="1" t="s">
        <v>32</v>
      </c>
      <c r="F233" s="1" t="s">
        <v>375</v>
      </c>
      <c r="G233" s="1" t="s">
        <v>495</v>
      </c>
      <c r="H233" s="1" t="s">
        <v>32</v>
      </c>
      <c r="I233" s="1" t="s">
        <v>32</v>
      </c>
      <c r="J233" s="1" t="s">
        <v>41</v>
      </c>
      <c r="K233" s="1" t="s">
        <v>376</v>
      </c>
      <c r="L233">
        <v>1</v>
      </c>
      <c r="M233">
        <v>1</v>
      </c>
      <c r="N233">
        <v>0</v>
      </c>
      <c r="O233">
        <v>5</v>
      </c>
      <c r="P233">
        <v>2</v>
      </c>
      <c r="Q233">
        <v>0</v>
      </c>
      <c r="R233">
        <v>0</v>
      </c>
      <c r="S233">
        <v>1</v>
      </c>
      <c r="T233">
        <v>1</v>
      </c>
      <c r="U233" s="1" t="s">
        <v>377</v>
      </c>
      <c r="V233" s="1" t="s">
        <v>161</v>
      </c>
      <c r="W233" s="1">
        <f t="shared" si="3"/>
        <v>66.67</v>
      </c>
      <c r="X233" s="1" t="s">
        <v>378</v>
      </c>
      <c r="Y233">
        <v>1</v>
      </c>
      <c r="Z233">
        <v>1</v>
      </c>
      <c r="AA233">
        <v>53</v>
      </c>
    </row>
    <row r="234" spans="1:27" x14ac:dyDescent="0.3">
      <c r="A234" s="1" t="s">
        <v>1274</v>
      </c>
      <c r="B234">
        <v>233</v>
      </c>
      <c r="C234" s="1" t="s">
        <v>1275</v>
      </c>
      <c r="D234" s="1" t="s">
        <v>382</v>
      </c>
      <c r="E234" s="1" t="s">
        <v>29</v>
      </c>
      <c r="F234" s="1" t="s">
        <v>1276</v>
      </c>
      <c r="G234" s="1" t="s">
        <v>502</v>
      </c>
      <c r="H234" s="1" t="s">
        <v>41</v>
      </c>
      <c r="I234" s="1" t="s">
        <v>32</v>
      </c>
      <c r="J234" s="1" t="s">
        <v>32</v>
      </c>
      <c r="K234" s="1" t="s">
        <v>525</v>
      </c>
      <c r="L234">
        <v>2</v>
      </c>
      <c r="M234">
        <v>0</v>
      </c>
      <c r="N234">
        <v>0</v>
      </c>
      <c r="O234">
        <v>6</v>
      </c>
      <c r="P234">
        <v>2</v>
      </c>
      <c r="Q234">
        <v>0</v>
      </c>
      <c r="R234">
        <v>0</v>
      </c>
      <c r="S234">
        <v>1</v>
      </c>
      <c r="T234">
        <v>1</v>
      </c>
      <c r="U234" s="1" t="s">
        <v>526</v>
      </c>
      <c r="V234" s="1" t="s">
        <v>169</v>
      </c>
      <c r="W234" s="1">
        <f t="shared" si="3"/>
        <v>270.07</v>
      </c>
      <c r="X234" s="1" t="s">
        <v>310</v>
      </c>
      <c r="Y234">
        <v>1</v>
      </c>
      <c r="Z234">
        <v>1</v>
      </c>
      <c r="AA234">
        <v>54</v>
      </c>
    </row>
    <row r="235" spans="1:27" x14ac:dyDescent="0.3">
      <c r="A235" s="1" t="s">
        <v>1277</v>
      </c>
      <c r="B235">
        <v>234</v>
      </c>
      <c r="C235" s="1" t="s">
        <v>1278</v>
      </c>
      <c r="D235" s="1" t="s">
        <v>1279</v>
      </c>
      <c r="E235" s="1" t="s">
        <v>39</v>
      </c>
      <c r="F235" s="1" t="s">
        <v>1280</v>
      </c>
      <c r="G235" s="1" t="s">
        <v>506</v>
      </c>
      <c r="H235" s="1" t="s">
        <v>48</v>
      </c>
      <c r="I235" s="1" t="s">
        <v>32</v>
      </c>
      <c r="J235" s="1" t="s">
        <v>74</v>
      </c>
      <c r="K235" s="1" t="s">
        <v>389</v>
      </c>
      <c r="L235">
        <v>2</v>
      </c>
      <c r="M235">
        <v>2</v>
      </c>
      <c r="N235">
        <v>0</v>
      </c>
      <c r="O235">
        <v>1</v>
      </c>
      <c r="P235">
        <v>4</v>
      </c>
      <c r="Q235">
        <v>0</v>
      </c>
      <c r="R235">
        <v>0</v>
      </c>
      <c r="S235">
        <v>1</v>
      </c>
      <c r="T235">
        <v>1</v>
      </c>
      <c r="U235" s="1" t="s">
        <v>389</v>
      </c>
      <c r="V235" s="1" t="s">
        <v>177</v>
      </c>
      <c r="W235" s="1">
        <f t="shared" si="3"/>
        <v>61.02</v>
      </c>
      <c r="X235" s="1" t="s">
        <v>390</v>
      </c>
      <c r="Y235">
        <v>1</v>
      </c>
      <c r="Z235">
        <v>1</v>
      </c>
      <c r="AA235">
        <v>55</v>
      </c>
    </row>
    <row r="236" spans="1:27" x14ac:dyDescent="0.3">
      <c r="A236" s="1" t="s">
        <v>1281</v>
      </c>
      <c r="B236">
        <v>235</v>
      </c>
      <c r="C236" s="1" t="s">
        <v>1282</v>
      </c>
      <c r="D236" s="1" t="s">
        <v>1283</v>
      </c>
      <c r="E236" s="1" t="s">
        <v>41</v>
      </c>
      <c r="F236" s="1" t="s">
        <v>1284</v>
      </c>
      <c r="G236" s="1" t="s">
        <v>513</v>
      </c>
      <c r="H236" s="1" t="s">
        <v>55</v>
      </c>
      <c r="I236" s="1" t="s">
        <v>32</v>
      </c>
      <c r="J236" s="1" t="s">
        <v>29</v>
      </c>
      <c r="K236" s="1" t="s">
        <v>1285</v>
      </c>
      <c r="L236">
        <v>2</v>
      </c>
      <c r="M236">
        <v>0</v>
      </c>
      <c r="N236">
        <v>0</v>
      </c>
      <c r="O236">
        <v>2</v>
      </c>
      <c r="P236">
        <v>2</v>
      </c>
      <c r="Q236">
        <v>0</v>
      </c>
      <c r="R236">
        <v>0</v>
      </c>
      <c r="S236">
        <v>1</v>
      </c>
      <c r="T236">
        <v>1</v>
      </c>
      <c r="U236" s="1" t="s">
        <v>1286</v>
      </c>
      <c r="V236" s="1" t="s">
        <v>87</v>
      </c>
      <c r="W236" s="1">
        <f t="shared" si="3"/>
        <v>274.58999999999997</v>
      </c>
      <c r="X236" s="1" t="s">
        <v>1287</v>
      </c>
      <c r="Y236">
        <v>1</v>
      </c>
      <c r="Z236">
        <v>1</v>
      </c>
      <c r="AA236">
        <v>56</v>
      </c>
    </row>
    <row r="237" spans="1:27" x14ac:dyDescent="0.3">
      <c r="A237" s="1" t="s">
        <v>1288</v>
      </c>
      <c r="B237">
        <v>236</v>
      </c>
      <c r="C237" s="1" t="s">
        <v>1289</v>
      </c>
      <c r="D237" s="1" t="s">
        <v>1290</v>
      </c>
      <c r="E237" s="1" t="s">
        <v>32</v>
      </c>
      <c r="F237" s="1" t="s">
        <v>1216</v>
      </c>
      <c r="G237" s="1" t="s">
        <v>48</v>
      </c>
      <c r="H237" s="1" t="s">
        <v>63</v>
      </c>
      <c r="I237" s="1" t="s">
        <v>32</v>
      </c>
      <c r="J237" s="1" t="s">
        <v>75</v>
      </c>
      <c r="K237" s="1" t="s">
        <v>473</v>
      </c>
      <c r="L237">
        <v>3</v>
      </c>
      <c r="M237">
        <v>1</v>
      </c>
      <c r="N237">
        <v>0</v>
      </c>
      <c r="O237">
        <v>3</v>
      </c>
      <c r="P237">
        <v>4</v>
      </c>
      <c r="Q237">
        <v>0</v>
      </c>
      <c r="R237">
        <v>0</v>
      </c>
      <c r="S237">
        <v>1</v>
      </c>
      <c r="T237">
        <v>1</v>
      </c>
      <c r="U237" s="1" t="s">
        <v>474</v>
      </c>
      <c r="V237" s="1" t="s">
        <v>475</v>
      </c>
      <c r="W237" s="1">
        <f t="shared" si="3"/>
        <v>221.71</v>
      </c>
      <c r="X237" s="1" t="s">
        <v>323</v>
      </c>
      <c r="Y237">
        <v>1</v>
      </c>
      <c r="Z237">
        <v>1</v>
      </c>
      <c r="AA237">
        <v>57</v>
      </c>
    </row>
    <row r="238" spans="1:27" x14ac:dyDescent="0.3">
      <c r="A238" s="1" t="s">
        <v>1291</v>
      </c>
      <c r="B238">
        <v>237</v>
      </c>
      <c r="C238" s="1" t="s">
        <v>1292</v>
      </c>
      <c r="D238" s="1" t="s">
        <v>1293</v>
      </c>
      <c r="E238" s="1" t="s">
        <v>29</v>
      </c>
      <c r="F238" s="1" t="s">
        <v>1220</v>
      </c>
      <c r="G238" s="1" t="s">
        <v>524</v>
      </c>
      <c r="H238" s="1" t="s">
        <v>74</v>
      </c>
      <c r="I238" s="1" t="s">
        <v>32</v>
      </c>
      <c r="J238" s="1" t="s">
        <v>41</v>
      </c>
      <c r="K238" s="1" t="s">
        <v>481</v>
      </c>
      <c r="L238">
        <v>3</v>
      </c>
      <c r="M238">
        <v>0</v>
      </c>
      <c r="N238">
        <v>0</v>
      </c>
      <c r="O238">
        <v>4</v>
      </c>
      <c r="P238">
        <v>3</v>
      </c>
      <c r="Q238">
        <v>0</v>
      </c>
      <c r="R238">
        <v>0</v>
      </c>
      <c r="S238">
        <v>1</v>
      </c>
      <c r="T238">
        <v>1</v>
      </c>
      <c r="U238" s="1" t="s">
        <v>481</v>
      </c>
      <c r="V238" s="1" t="s">
        <v>482</v>
      </c>
      <c r="W238" s="1">
        <f t="shared" si="3"/>
        <v>69.16</v>
      </c>
      <c r="X238" s="1" t="s">
        <v>410</v>
      </c>
      <c r="Y238">
        <v>1</v>
      </c>
      <c r="Z238">
        <v>1</v>
      </c>
      <c r="AA238">
        <v>58</v>
      </c>
    </row>
    <row r="239" spans="1:27" x14ac:dyDescent="0.3">
      <c r="A239" s="1" t="s">
        <v>1294</v>
      </c>
      <c r="B239">
        <v>238</v>
      </c>
      <c r="C239" s="1" t="s">
        <v>1295</v>
      </c>
      <c r="D239" s="1" t="s">
        <v>1296</v>
      </c>
      <c r="E239" s="1" t="s">
        <v>39</v>
      </c>
      <c r="F239" s="1" t="s">
        <v>292</v>
      </c>
      <c r="G239" s="1" t="s">
        <v>529</v>
      </c>
      <c r="H239" s="1" t="s">
        <v>29</v>
      </c>
      <c r="I239" s="1" t="s">
        <v>32</v>
      </c>
      <c r="J239" s="1" t="s">
        <v>32</v>
      </c>
      <c r="K239" s="1" t="s">
        <v>414</v>
      </c>
      <c r="L239">
        <v>3</v>
      </c>
      <c r="M239">
        <v>0</v>
      </c>
      <c r="N239">
        <v>0</v>
      </c>
      <c r="O239">
        <v>5</v>
      </c>
      <c r="P239">
        <v>3</v>
      </c>
      <c r="Q239">
        <v>0</v>
      </c>
      <c r="R239">
        <v>0</v>
      </c>
      <c r="S239">
        <v>1</v>
      </c>
      <c r="T239">
        <v>1</v>
      </c>
      <c r="U239" s="1" t="s">
        <v>415</v>
      </c>
      <c r="V239" s="1" t="s">
        <v>111</v>
      </c>
      <c r="W239" s="1">
        <f t="shared" si="3"/>
        <v>80.229999999999905</v>
      </c>
      <c r="X239" s="1" t="s">
        <v>416</v>
      </c>
      <c r="Y239">
        <v>1</v>
      </c>
      <c r="Z239">
        <v>1</v>
      </c>
      <c r="AA239">
        <v>59</v>
      </c>
    </row>
    <row r="240" spans="1:27" x14ac:dyDescent="0.3">
      <c r="A240" s="1" t="s">
        <v>1297</v>
      </c>
      <c r="B240">
        <v>239</v>
      </c>
      <c r="C240" s="1" t="s">
        <v>1298</v>
      </c>
      <c r="D240" s="1" t="s">
        <v>1299</v>
      </c>
      <c r="E240" s="1" t="s">
        <v>41</v>
      </c>
      <c r="F240" s="1" t="s">
        <v>74</v>
      </c>
      <c r="G240" s="1" t="s">
        <v>535</v>
      </c>
      <c r="H240" s="1" t="s">
        <v>32</v>
      </c>
      <c r="I240" s="1" t="s">
        <v>32</v>
      </c>
      <c r="J240" s="1" t="s">
        <v>74</v>
      </c>
      <c r="K240" s="1" t="s">
        <v>421</v>
      </c>
      <c r="L240">
        <v>3</v>
      </c>
      <c r="M240">
        <v>0</v>
      </c>
      <c r="N240">
        <v>0</v>
      </c>
      <c r="O240">
        <v>6</v>
      </c>
      <c r="P240">
        <v>3</v>
      </c>
      <c r="Q240">
        <v>0</v>
      </c>
      <c r="R240">
        <v>0</v>
      </c>
      <c r="S240">
        <v>1</v>
      </c>
      <c r="T240">
        <v>1</v>
      </c>
      <c r="U240" s="1" t="s">
        <v>422</v>
      </c>
      <c r="V240" s="1" t="s">
        <v>169</v>
      </c>
      <c r="W240" s="1">
        <f t="shared" si="3"/>
        <v>270.07</v>
      </c>
      <c r="X240" s="1" t="s">
        <v>346</v>
      </c>
      <c r="Y240">
        <v>1</v>
      </c>
      <c r="Z240">
        <v>1</v>
      </c>
      <c r="AA240">
        <v>60</v>
      </c>
    </row>
    <row r="241" spans="1:27" x14ac:dyDescent="0.3">
      <c r="A241" s="1" t="s">
        <v>1300</v>
      </c>
      <c r="B241">
        <v>240</v>
      </c>
      <c r="C241" s="1" t="s">
        <v>1301</v>
      </c>
      <c r="D241" s="1" t="s">
        <v>1302</v>
      </c>
      <c r="E241" s="1" t="s">
        <v>32</v>
      </c>
      <c r="F241" s="1" t="s">
        <v>301</v>
      </c>
      <c r="G241" s="1" t="s">
        <v>540</v>
      </c>
      <c r="H241" s="1" t="s">
        <v>41</v>
      </c>
      <c r="I241" s="1" t="s">
        <v>32</v>
      </c>
      <c r="J241" s="1" t="s">
        <v>29</v>
      </c>
      <c r="K241" s="1" t="s">
        <v>428</v>
      </c>
      <c r="L241">
        <v>1</v>
      </c>
      <c r="M241">
        <v>2</v>
      </c>
      <c r="N241">
        <v>1</v>
      </c>
      <c r="O241">
        <v>1</v>
      </c>
      <c r="P241">
        <v>4</v>
      </c>
      <c r="Q241">
        <v>0</v>
      </c>
      <c r="R241">
        <v>0</v>
      </c>
      <c r="S241">
        <v>1</v>
      </c>
      <c r="T241">
        <v>1</v>
      </c>
      <c r="U241" s="1" t="s">
        <v>428</v>
      </c>
      <c r="V241" s="1" t="s">
        <v>127</v>
      </c>
      <c r="W241" s="1">
        <f t="shared" si="3"/>
        <v>47.46</v>
      </c>
      <c r="X241" s="1" t="s">
        <v>429</v>
      </c>
      <c r="Y241">
        <v>1</v>
      </c>
      <c r="Z241">
        <v>1</v>
      </c>
      <c r="AA241">
        <v>61</v>
      </c>
    </row>
    <row r="242" spans="1:27" x14ac:dyDescent="0.3">
      <c r="A242" s="1" t="s">
        <v>1303</v>
      </c>
      <c r="B242">
        <v>241</v>
      </c>
      <c r="C242" s="1" t="s">
        <v>1304</v>
      </c>
      <c r="D242" s="1" t="s">
        <v>547</v>
      </c>
      <c r="E242" s="1" t="s">
        <v>29</v>
      </c>
      <c r="F242" s="1" t="s">
        <v>433</v>
      </c>
      <c r="G242" s="1" t="s">
        <v>547</v>
      </c>
      <c r="H242" s="1" t="s">
        <v>48</v>
      </c>
      <c r="I242" s="1" t="s">
        <v>33</v>
      </c>
      <c r="J242" s="1" t="s">
        <v>33</v>
      </c>
      <c r="K242" s="1" t="s">
        <v>34</v>
      </c>
      <c r="L242">
        <v>1</v>
      </c>
      <c r="M242">
        <v>0</v>
      </c>
      <c r="N242">
        <v>0</v>
      </c>
      <c r="O242">
        <v>2</v>
      </c>
      <c r="P242">
        <v>1</v>
      </c>
      <c r="Q242">
        <v>1</v>
      </c>
      <c r="R242">
        <v>0</v>
      </c>
      <c r="S242">
        <v>0</v>
      </c>
      <c r="T242">
        <v>0</v>
      </c>
      <c r="U242" s="1" t="s">
        <v>434</v>
      </c>
      <c r="V242" s="1">
        <v>0</v>
      </c>
      <c r="W242" s="1">
        <f t="shared" si="3"/>
        <v>0</v>
      </c>
      <c r="X242" s="1" t="s">
        <v>434</v>
      </c>
      <c r="Y242">
        <v>1</v>
      </c>
      <c r="Z242">
        <v>0</v>
      </c>
      <c r="AA242">
        <v>62</v>
      </c>
    </row>
    <row r="243" spans="1:27" x14ac:dyDescent="0.3">
      <c r="A243" s="1" t="s">
        <v>1305</v>
      </c>
      <c r="B243">
        <v>242</v>
      </c>
      <c r="C243" s="1" t="s">
        <v>1306</v>
      </c>
      <c r="D243" s="1" t="s">
        <v>1307</v>
      </c>
      <c r="E243" s="1" t="s">
        <v>39</v>
      </c>
      <c r="F243" s="1" t="s">
        <v>1308</v>
      </c>
      <c r="G243" s="1" t="s">
        <v>551</v>
      </c>
      <c r="H243" s="1" t="s">
        <v>55</v>
      </c>
      <c r="I243" s="1" t="s">
        <v>33</v>
      </c>
      <c r="J243" s="1" t="s">
        <v>33</v>
      </c>
      <c r="K243" s="1" t="s">
        <v>34</v>
      </c>
      <c r="L243">
        <v>1</v>
      </c>
      <c r="M243">
        <v>0</v>
      </c>
      <c r="N243">
        <v>0</v>
      </c>
      <c r="O243">
        <v>3</v>
      </c>
      <c r="P243">
        <v>1</v>
      </c>
      <c r="Q243">
        <v>1</v>
      </c>
      <c r="R243">
        <v>0</v>
      </c>
      <c r="S243">
        <v>0</v>
      </c>
      <c r="T243">
        <v>0</v>
      </c>
      <c r="U243" s="1" t="s">
        <v>439</v>
      </c>
      <c r="V243" s="1">
        <v>0</v>
      </c>
      <c r="W243" s="1">
        <f t="shared" si="3"/>
        <v>0</v>
      </c>
      <c r="X243" s="1" t="s">
        <v>439</v>
      </c>
      <c r="Y243">
        <v>1</v>
      </c>
      <c r="Z243">
        <v>0</v>
      </c>
      <c r="AA243">
        <v>63</v>
      </c>
    </row>
    <row r="244" spans="1:27" x14ac:dyDescent="0.3">
      <c r="A244" s="1" t="s">
        <v>1309</v>
      </c>
      <c r="B244">
        <v>243</v>
      </c>
      <c r="C244" s="1" t="s">
        <v>1310</v>
      </c>
      <c r="D244" s="1" t="s">
        <v>1311</v>
      </c>
      <c r="E244" s="1" t="s">
        <v>41</v>
      </c>
      <c r="F244" s="1" t="s">
        <v>1311</v>
      </c>
      <c r="G244" s="1" t="s">
        <v>555</v>
      </c>
      <c r="H244" s="1" t="s">
        <v>63</v>
      </c>
      <c r="I244" s="1" t="s">
        <v>33</v>
      </c>
      <c r="J244" s="1" t="s">
        <v>33</v>
      </c>
      <c r="K244" s="1" t="s">
        <v>34</v>
      </c>
      <c r="L244">
        <v>2</v>
      </c>
      <c r="M244">
        <v>0</v>
      </c>
      <c r="N244">
        <v>0</v>
      </c>
      <c r="O244">
        <v>4</v>
      </c>
      <c r="P244">
        <v>2</v>
      </c>
      <c r="Q244">
        <v>1</v>
      </c>
      <c r="R244">
        <v>0</v>
      </c>
      <c r="S244">
        <v>0</v>
      </c>
      <c r="T244">
        <v>0</v>
      </c>
      <c r="U244" s="1">
        <v>419</v>
      </c>
      <c r="V244" s="1">
        <v>0</v>
      </c>
      <c r="W244" s="1">
        <f t="shared" si="3"/>
        <v>0</v>
      </c>
      <c r="X244" s="1">
        <v>419</v>
      </c>
      <c r="Y244">
        <v>1</v>
      </c>
      <c r="Z244">
        <v>0</v>
      </c>
      <c r="AA244">
        <v>64</v>
      </c>
    </row>
    <row r="245" spans="1:27" x14ac:dyDescent="0.3">
      <c r="A245" s="1" t="s">
        <v>1312</v>
      </c>
      <c r="B245">
        <v>244</v>
      </c>
      <c r="C245" s="1" t="s">
        <v>1313</v>
      </c>
      <c r="D245" s="1" t="s">
        <v>1314</v>
      </c>
      <c r="E245" s="1" t="s">
        <v>32</v>
      </c>
      <c r="F245" s="1" t="s">
        <v>1314</v>
      </c>
      <c r="G245" s="1" t="s">
        <v>560</v>
      </c>
      <c r="H245" s="1" t="s">
        <v>74</v>
      </c>
      <c r="I245" s="1" t="s">
        <v>56</v>
      </c>
      <c r="J245" s="1" t="s">
        <v>33</v>
      </c>
      <c r="K245" s="1" t="s">
        <v>34</v>
      </c>
      <c r="L245">
        <v>2</v>
      </c>
      <c r="M245">
        <v>1</v>
      </c>
      <c r="N245">
        <v>0</v>
      </c>
      <c r="O245">
        <v>5</v>
      </c>
      <c r="P245">
        <v>3</v>
      </c>
      <c r="Q245">
        <v>0</v>
      </c>
      <c r="R245">
        <v>1</v>
      </c>
      <c r="S245">
        <v>0</v>
      </c>
      <c r="T245">
        <v>0</v>
      </c>
      <c r="U245" s="1" t="s">
        <v>378</v>
      </c>
      <c r="V245" s="1">
        <v>0</v>
      </c>
      <c r="W245" s="1">
        <f t="shared" si="3"/>
        <v>0</v>
      </c>
      <c r="X245" s="1" t="s">
        <v>378</v>
      </c>
      <c r="Y245">
        <v>1</v>
      </c>
      <c r="Z245">
        <v>0</v>
      </c>
      <c r="AA245">
        <v>65</v>
      </c>
    </row>
    <row r="246" spans="1:27" x14ac:dyDescent="0.3">
      <c r="A246" s="1" t="s">
        <v>1315</v>
      </c>
      <c r="B246">
        <v>245</v>
      </c>
      <c r="C246" s="1" t="s">
        <v>1316</v>
      </c>
      <c r="D246" s="1" t="s">
        <v>1317</v>
      </c>
      <c r="E246" s="1" t="s">
        <v>29</v>
      </c>
      <c r="F246" s="1" t="s">
        <v>453</v>
      </c>
      <c r="G246" s="1" t="s">
        <v>566</v>
      </c>
      <c r="H246" s="1" t="s">
        <v>29</v>
      </c>
      <c r="I246" s="1" t="s">
        <v>64</v>
      </c>
      <c r="J246" s="1" t="s">
        <v>41</v>
      </c>
      <c r="K246" s="1" t="s">
        <v>454</v>
      </c>
      <c r="L246">
        <v>2</v>
      </c>
      <c r="M246">
        <v>0</v>
      </c>
      <c r="N246">
        <v>0</v>
      </c>
      <c r="O246">
        <v>6</v>
      </c>
      <c r="P246">
        <v>2</v>
      </c>
      <c r="Q246">
        <v>0</v>
      </c>
      <c r="R246">
        <v>0</v>
      </c>
      <c r="S246">
        <v>0</v>
      </c>
      <c r="T246">
        <v>0</v>
      </c>
      <c r="U246" s="1" t="s">
        <v>455</v>
      </c>
      <c r="V246" s="1" t="s">
        <v>67</v>
      </c>
      <c r="W246" s="1">
        <f t="shared" si="3"/>
        <v>22.6</v>
      </c>
      <c r="X246" s="1" t="s">
        <v>456</v>
      </c>
      <c r="Y246">
        <v>1</v>
      </c>
      <c r="Z246">
        <v>0</v>
      </c>
      <c r="AA246">
        <v>66</v>
      </c>
    </row>
    <row r="247" spans="1:27" x14ac:dyDescent="0.3">
      <c r="A247" s="1" t="s">
        <v>1318</v>
      </c>
      <c r="B247">
        <v>246</v>
      </c>
      <c r="C247" s="1" t="s">
        <v>1319</v>
      </c>
      <c r="D247" s="1" t="s">
        <v>573</v>
      </c>
      <c r="E247" s="1" t="s">
        <v>39</v>
      </c>
      <c r="F247" s="1" t="s">
        <v>573</v>
      </c>
      <c r="G247" s="1" t="s">
        <v>573</v>
      </c>
      <c r="H247" s="1" t="s">
        <v>32</v>
      </c>
      <c r="I247" s="1" t="s">
        <v>64</v>
      </c>
      <c r="J247" s="1" t="s">
        <v>32</v>
      </c>
      <c r="K247" s="1" t="s">
        <v>461</v>
      </c>
      <c r="L247">
        <v>3</v>
      </c>
      <c r="M247">
        <v>2</v>
      </c>
      <c r="N247">
        <v>0</v>
      </c>
      <c r="O247">
        <v>1</v>
      </c>
      <c r="P247">
        <v>5</v>
      </c>
      <c r="Q247">
        <v>0</v>
      </c>
      <c r="R247">
        <v>0</v>
      </c>
      <c r="S247">
        <v>0</v>
      </c>
      <c r="T247">
        <v>0</v>
      </c>
      <c r="U247" s="1" t="s">
        <v>462</v>
      </c>
      <c r="V247" s="1" t="s">
        <v>177</v>
      </c>
      <c r="W247" s="1">
        <f t="shared" si="3"/>
        <v>61.02</v>
      </c>
      <c r="X247" s="1" t="s">
        <v>463</v>
      </c>
      <c r="Y247">
        <v>1</v>
      </c>
      <c r="Z247">
        <v>0</v>
      </c>
      <c r="AA247">
        <v>67</v>
      </c>
    </row>
    <row r="248" spans="1:27" x14ac:dyDescent="0.3">
      <c r="A248" s="1" t="s">
        <v>1320</v>
      </c>
      <c r="B248">
        <v>247</v>
      </c>
      <c r="C248" s="1" t="s">
        <v>1321</v>
      </c>
      <c r="D248" s="1" t="s">
        <v>1322</v>
      </c>
      <c r="E248" s="1" t="s">
        <v>41</v>
      </c>
      <c r="F248" s="1" t="s">
        <v>342</v>
      </c>
      <c r="G248" s="1" t="s">
        <v>578</v>
      </c>
      <c r="H248" s="1" t="s">
        <v>41</v>
      </c>
      <c r="I248" s="1" t="s">
        <v>32</v>
      </c>
      <c r="J248" s="1" t="s">
        <v>32</v>
      </c>
      <c r="K248" s="1" t="s">
        <v>359</v>
      </c>
      <c r="L248">
        <v>3</v>
      </c>
      <c r="M248">
        <v>0</v>
      </c>
      <c r="N248">
        <v>0</v>
      </c>
      <c r="O248">
        <v>2</v>
      </c>
      <c r="P248">
        <v>3</v>
      </c>
      <c r="Q248">
        <v>0</v>
      </c>
      <c r="R248">
        <v>0</v>
      </c>
      <c r="S248">
        <v>1</v>
      </c>
      <c r="T248">
        <v>1</v>
      </c>
      <c r="U248" s="1" t="s">
        <v>360</v>
      </c>
      <c r="V248" s="1" t="s">
        <v>87</v>
      </c>
      <c r="W248" s="1">
        <f t="shared" si="3"/>
        <v>274.58999999999997</v>
      </c>
      <c r="X248" s="1" t="s">
        <v>468</v>
      </c>
      <c r="Y248">
        <v>1</v>
      </c>
      <c r="Z248">
        <v>1</v>
      </c>
      <c r="AA248">
        <v>68</v>
      </c>
    </row>
    <row r="249" spans="1:27" x14ac:dyDescent="0.3">
      <c r="A249" s="1" t="s">
        <v>1323</v>
      </c>
      <c r="B249">
        <v>248</v>
      </c>
      <c r="C249" s="1" t="s">
        <v>1324</v>
      </c>
      <c r="D249" s="1" t="s">
        <v>1325</v>
      </c>
      <c r="E249" s="1" t="s">
        <v>32</v>
      </c>
      <c r="F249" s="1" t="s">
        <v>1326</v>
      </c>
      <c r="G249" s="1" t="s">
        <v>581</v>
      </c>
      <c r="H249" s="1" t="s">
        <v>48</v>
      </c>
      <c r="I249" s="1" t="s">
        <v>32</v>
      </c>
      <c r="J249" s="1" t="s">
        <v>74</v>
      </c>
      <c r="K249" s="1" t="s">
        <v>404</v>
      </c>
      <c r="L249">
        <v>3</v>
      </c>
      <c r="M249">
        <v>1</v>
      </c>
      <c r="N249">
        <v>0</v>
      </c>
      <c r="O249">
        <v>3</v>
      </c>
      <c r="P249">
        <v>4</v>
      </c>
      <c r="Q249">
        <v>0</v>
      </c>
      <c r="R249">
        <v>0</v>
      </c>
      <c r="S249">
        <v>1</v>
      </c>
      <c r="T249">
        <v>1</v>
      </c>
      <c r="U249" s="1" t="s">
        <v>405</v>
      </c>
      <c r="V249" s="1" t="s">
        <v>96</v>
      </c>
      <c r="W249" s="1">
        <f t="shared" si="3"/>
        <v>229.39</v>
      </c>
      <c r="X249" s="1" t="s">
        <v>323</v>
      </c>
      <c r="Y249">
        <v>1</v>
      </c>
      <c r="Z249">
        <v>1</v>
      </c>
      <c r="AA249">
        <v>69</v>
      </c>
    </row>
    <row r="250" spans="1:27" x14ac:dyDescent="0.3">
      <c r="A250" s="1" t="s">
        <v>1327</v>
      </c>
      <c r="B250">
        <v>249</v>
      </c>
      <c r="C250" s="1" t="s">
        <v>1328</v>
      </c>
      <c r="D250" s="1" t="s">
        <v>1329</v>
      </c>
      <c r="E250" s="1" t="s">
        <v>29</v>
      </c>
      <c r="F250" s="1" t="s">
        <v>1329</v>
      </c>
      <c r="G250" s="1" t="s">
        <v>585</v>
      </c>
      <c r="H250" s="1" t="s">
        <v>55</v>
      </c>
      <c r="I250" s="1" t="s">
        <v>32</v>
      </c>
      <c r="J250" s="1" t="s">
        <v>29</v>
      </c>
      <c r="K250" s="1" t="s">
        <v>409</v>
      </c>
      <c r="L250">
        <v>3</v>
      </c>
      <c r="M250">
        <v>0</v>
      </c>
      <c r="N250">
        <v>0</v>
      </c>
      <c r="O250">
        <v>4</v>
      </c>
      <c r="P250">
        <v>3</v>
      </c>
      <c r="Q250">
        <v>0</v>
      </c>
      <c r="R250">
        <v>0</v>
      </c>
      <c r="S250">
        <v>1</v>
      </c>
      <c r="T250">
        <v>1</v>
      </c>
      <c r="U250" s="1" t="s">
        <v>409</v>
      </c>
      <c r="V250" s="1" t="s">
        <v>104</v>
      </c>
      <c r="W250" s="1">
        <f t="shared" si="3"/>
        <v>76.84</v>
      </c>
      <c r="X250" s="1" t="s">
        <v>410</v>
      </c>
      <c r="Y250">
        <v>1</v>
      </c>
      <c r="Z250">
        <v>1</v>
      </c>
      <c r="AA250">
        <v>70</v>
      </c>
    </row>
    <row r="251" spans="1:27" x14ac:dyDescent="0.3">
      <c r="A251" s="1" t="s">
        <v>1330</v>
      </c>
      <c r="B251">
        <v>250</v>
      </c>
      <c r="C251" s="1" t="s">
        <v>1331</v>
      </c>
      <c r="D251" s="1" t="s">
        <v>1332</v>
      </c>
      <c r="E251" s="1" t="s">
        <v>39</v>
      </c>
      <c r="F251" s="1" t="s">
        <v>1262</v>
      </c>
      <c r="G251" s="1" t="s">
        <v>591</v>
      </c>
      <c r="H251" s="1" t="s">
        <v>63</v>
      </c>
      <c r="I251" s="1" t="s">
        <v>32</v>
      </c>
      <c r="J251" s="1" t="s">
        <v>75</v>
      </c>
      <c r="K251" s="1" t="s">
        <v>1333</v>
      </c>
      <c r="L251">
        <v>1</v>
      </c>
      <c r="M251">
        <v>0</v>
      </c>
      <c r="N251">
        <v>0</v>
      </c>
      <c r="O251">
        <v>5</v>
      </c>
      <c r="P251">
        <v>1</v>
      </c>
      <c r="Q251">
        <v>0</v>
      </c>
      <c r="R251">
        <v>0</v>
      </c>
      <c r="S251">
        <v>1</v>
      </c>
      <c r="T251">
        <v>1</v>
      </c>
      <c r="U251" s="1" t="s">
        <v>1334</v>
      </c>
      <c r="V251" s="1" t="s">
        <v>1335</v>
      </c>
      <c r="W251" s="1">
        <f t="shared" si="3"/>
        <v>78.649999999999906</v>
      </c>
      <c r="X251" s="1" t="s">
        <v>487</v>
      </c>
      <c r="Y251">
        <v>1</v>
      </c>
      <c r="Z251">
        <v>1</v>
      </c>
      <c r="AA251">
        <v>71</v>
      </c>
    </row>
    <row r="252" spans="1:27" x14ac:dyDescent="0.3">
      <c r="A252" s="1" t="s">
        <v>1336</v>
      </c>
      <c r="B252">
        <v>251</v>
      </c>
      <c r="C252" s="1" t="s">
        <v>1337</v>
      </c>
      <c r="D252" s="1" t="s">
        <v>1338</v>
      </c>
      <c r="E252" s="1" t="s">
        <v>41</v>
      </c>
      <c r="F252" s="1" t="s">
        <v>1339</v>
      </c>
      <c r="G252" s="1" t="s">
        <v>597</v>
      </c>
      <c r="H252" s="1" t="s">
        <v>74</v>
      </c>
      <c r="I252" s="1" t="s">
        <v>32</v>
      </c>
      <c r="J252" s="1" t="s">
        <v>41</v>
      </c>
      <c r="K252" s="1" t="s">
        <v>1340</v>
      </c>
      <c r="L252">
        <v>1</v>
      </c>
      <c r="M252">
        <v>0</v>
      </c>
      <c r="N252">
        <v>0</v>
      </c>
      <c r="O252">
        <v>6</v>
      </c>
      <c r="P252">
        <v>1</v>
      </c>
      <c r="Q252">
        <v>0</v>
      </c>
      <c r="R252">
        <v>0</v>
      </c>
      <c r="S252">
        <v>1</v>
      </c>
      <c r="T252">
        <v>1</v>
      </c>
      <c r="U252" s="1" t="s">
        <v>1341</v>
      </c>
      <c r="V252" s="1" t="s">
        <v>1027</v>
      </c>
      <c r="W252" s="1">
        <f t="shared" si="3"/>
        <v>268.49</v>
      </c>
      <c r="X252" s="1" t="s">
        <v>556</v>
      </c>
      <c r="Y252">
        <v>1</v>
      </c>
      <c r="Z252">
        <v>1</v>
      </c>
      <c r="AA252">
        <v>72</v>
      </c>
    </row>
    <row r="253" spans="1:27" x14ac:dyDescent="0.3">
      <c r="A253" s="1" t="s">
        <v>1342</v>
      </c>
      <c r="B253">
        <v>252</v>
      </c>
      <c r="C253" s="1" t="s">
        <v>1343</v>
      </c>
      <c r="D253" s="1" t="s">
        <v>1344</v>
      </c>
      <c r="E253" s="1" t="s">
        <v>32</v>
      </c>
      <c r="F253" s="1" t="s">
        <v>1344</v>
      </c>
      <c r="G253" s="1" t="s">
        <v>602</v>
      </c>
      <c r="H253" s="1" t="s">
        <v>29</v>
      </c>
      <c r="I253" s="1" t="s">
        <v>32</v>
      </c>
      <c r="J253" s="1" t="s">
        <v>32</v>
      </c>
      <c r="K253" s="1" t="s">
        <v>496</v>
      </c>
      <c r="L253">
        <v>1</v>
      </c>
      <c r="M253">
        <v>2</v>
      </c>
      <c r="N253">
        <v>1</v>
      </c>
      <c r="O253">
        <v>1</v>
      </c>
      <c r="P253">
        <v>4</v>
      </c>
      <c r="Q253">
        <v>0</v>
      </c>
      <c r="R253">
        <v>0</v>
      </c>
      <c r="S253">
        <v>1</v>
      </c>
      <c r="T253">
        <v>1</v>
      </c>
      <c r="U253" s="1" t="s">
        <v>496</v>
      </c>
      <c r="V253" s="1" t="s">
        <v>127</v>
      </c>
      <c r="W253" s="1">
        <f t="shared" si="3"/>
        <v>47.46</v>
      </c>
      <c r="X253" s="1" t="s">
        <v>497</v>
      </c>
      <c r="Y253">
        <v>1</v>
      </c>
      <c r="Z253">
        <v>1</v>
      </c>
      <c r="AA253">
        <v>73</v>
      </c>
    </row>
    <row r="254" spans="1:27" x14ac:dyDescent="0.3">
      <c r="A254" s="1" t="s">
        <v>1345</v>
      </c>
      <c r="B254">
        <v>253</v>
      </c>
      <c r="C254" s="1" t="s">
        <v>1346</v>
      </c>
      <c r="D254" s="1" t="s">
        <v>1347</v>
      </c>
      <c r="E254" s="1" t="s">
        <v>29</v>
      </c>
      <c r="F254" s="1" t="s">
        <v>382</v>
      </c>
      <c r="G254" s="1" t="s">
        <v>605</v>
      </c>
      <c r="H254" s="1" t="s">
        <v>32</v>
      </c>
      <c r="I254" s="1" t="s">
        <v>32</v>
      </c>
      <c r="J254" s="1" t="s">
        <v>74</v>
      </c>
      <c r="K254" s="1" t="s">
        <v>359</v>
      </c>
      <c r="L254">
        <v>2</v>
      </c>
      <c r="M254">
        <v>0</v>
      </c>
      <c r="N254">
        <v>0</v>
      </c>
      <c r="O254">
        <v>2</v>
      </c>
      <c r="P254">
        <v>2</v>
      </c>
      <c r="Q254">
        <v>0</v>
      </c>
      <c r="R254">
        <v>0</v>
      </c>
      <c r="S254">
        <v>1</v>
      </c>
      <c r="T254">
        <v>1</v>
      </c>
      <c r="U254" s="1" t="s">
        <v>360</v>
      </c>
      <c r="V254" s="1" t="s">
        <v>288</v>
      </c>
      <c r="W254" s="1">
        <f t="shared" si="3"/>
        <v>301.70999999999998</v>
      </c>
      <c r="X254" s="1" t="s">
        <v>361</v>
      </c>
      <c r="Y254">
        <v>1</v>
      </c>
      <c r="Z254">
        <v>1</v>
      </c>
      <c r="AA254">
        <v>74</v>
      </c>
    </row>
    <row r="255" spans="1:27" x14ac:dyDescent="0.3">
      <c r="A255" s="1" t="s">
        <v>1348</v>
      </c>
      <c r="B255">
        <v>254</v>
      </c>
      <c r="C255" s="1" t="s">
        <v>1349</v>
      </c>
      <c r="D255" s="1" t="s">
        <v>506</v>
      </c>
      <c r="E255" s="1" t="s">
        <v>39</v>
      </c>
      <c r="F255" s="1" t="s">
        <v>1350</v>
      </c>
      <c r="G255" s="1" t="s">
        <v>610</v>
      </c>
      <c r="H255" s="1" t="s">
        <v>41</v>
      </c>
      <c r="I255" s="1" t="s">
        <v>32</v>
      </c>
      <c r="J255" s="1" t="s">
        <v>29</v>
      </c>
      <c r="K255" s="1" t="s">
        <v>631</v>
      </c>
      <c r="L255">
        <v>2</v>
      </c>
      <c r="M255">
        <v>0</v>
      </c>
      <c r="N255">
        <v>0</v>
      </c>
      <c r="O255">
        <v>3</v>
      </c>
      <c r="P255">
        <v>2</v>
      </c>
      <c r="Q255">
        <v>0</v>
      </c>
      <c r="R255">
        <v>0</v>
      </c>
      <c r="S255">
        <v>1</v>
      </c>
      <c r="T255">
        <v>1</v>
      </c>
      <c r="U255" s="1" t="s">
        <v>632</v>
      </c>
      <c r="V255" s="1" t="s">
        <v>144</v>
      </c>
      <c r="W255" s="1">
        <f t="shared" si="3"/>
        <v>202.26999999999899</v>
      </c>
      <c r="X255" s="1" t="s">
        <v>510</v>
      </c>
      <c r="Y255">
        <v>1</v>
      </c>
      <c r="Z255">
        <v>1</v>
      </c>
      <c r="AA255">
        <v>75</v>
      </c>
    </row>
    <row r="256" spans="1:27" x14ac:dyDescent="0.3">
      <c r="A256" s="1" t="s">
        <v>1351</v>
      </c>
      <c r="B256">
        <v>255</v>
      </c>
      <c r="C256" s="1" t="s">
        <v>1352</v>
      </c>
      <c r="D256" s="1" t="s">
        <v>1353</v>
      </c>
      <c r="E256" s="1" t="s">
        <v>41</v>
      </c>
      <c r="F256" s="1" t="s">
        <v>1354</v>
      </c>
      <c r="G256" s="1" t="s">
        <v>613</v>
      </c>
      <c r="H256" s="1" t="s">
        <v>48</v>
      </c>
      <c r="I256" s="1" t="s">
        <v>32</v>
      </c>
      <c r="J256" s="1" t="s">
        <v>75</v>
      </c>
      <c r="K256" s="1" t="s">
        <v>514</v>
      </c>
      <c r="L256">
        <v>2</v>
      </c>
      <c r="M256">
        <v>0</v>
      </c>
      <c r="N256">
        <v>0</v>
      </c>
      <c r="O256">
        <v>4</v>
      </c>
      <c r="P256">
        <v>2</v>
      </c>
      <c r="Q256">
        <v>0</v>
      </c>
      <c r="R256">
        <v>0</v>
      </c>
      <c r="S256">
        <v>1</v>
      </c>
      <c r="T256">
        <v>1</v>
      </c>
      <c r="U256" s="1" t="s">
        <v>514</v>
      </c>
      <c r="V256" s="1" t="s">
        <v>152</v>
      </c>
      <c r="W256" s="1">
        <f t="shared" si="3"/>
        <v>63.28</v>
      </c>
      <c r="X256" s="1" t="s">
        <v>515</v>
      </c>
      <c r="Y256">
        <v>1</v>
      </c>
      <c r="Z256">
        <v>1</v>
      </c>
      <c r="AA256">
        <v>76</v>
      </c>
    </row>
    <row r="257" spans="1:27" x14ac:dyDescent="0.3">
      <c r="A257" s="1" t="s">
        <v>1355</v>
      </c>
      <c r="B257">
        <v>256</v>
      </c>
      <c r="C257" s="1" t="s">
        <v>1356</v>
      </c>
      <c r="D257" s="1" t="s">
        <v>1357</v>
      </c>
      <c r="E257" s="1" t="s">
        <v>32</v>
      </c>
      <c r="F257" s="1" t="s">
        <v>48</v>
      </c>
      <c r="G257" s="1" t="s">
        <v>620</v>
      </c>
      <c r="H257" s="1" t="s">
        <v>55</v>
      </c>
      <c r="I257" s="1" t="s">
        <v>32</v>
      </c>
      <c r="J257" s="1" t="s">
        <v>41</v>
      </c>
      <c r="K257" s="1" t="s">
        <v>376</v>
      </c>
      <c r="L257">
        <v>3</v>
      </c>
      <c r="M257">
        <v>1</v>
      </c>
      <c r="N257">
        <v>0</v>
      </c>
      <c r="O257">
        <v>5</v>
      </c>
      <c r="P257">
        <v>4</v>
      </c>
      <c r="Q257">
        <v>0</v>
      </c>
      <c r="R257">
        <v>0</v>
      </c>
      <c r="S257">
        <v>1</v>
      </c>
      <c r="T257">
        <v>1</v>
      </c>
      <c r="U257" s="1" t="s">
        <v>377</v>
      </c>
      <c r="V257" s="1" t="s">
        <v>161</v>
      </c>
      <c r="W257" s="1">
        <f t="shared" si="3"/>
        <v>66.67</v>
      </c>
      <c r="X257" s="1" t="s">
        <v>378</v>
      </c>
      <c r="Y257">
        <v>1</v>
      </c>
      <c r="Z257">
        <v>1</v>
      </c>
      <c r="AA257">
        <v>77</v>
      </c>
    </row>
    <row r="258" spans="1:27" x14ac:dyDescent="0.3">
      <c r="A258" s="1" t="s">
        <v>1358</v>
      </c>
      <c r="B258">
        <v>257</v>
      </c>
      <c r="C258" s="1" t="s">
        <v>1359</v>
      </c>
      <c r="D258" s="1" t="s">
        <v>1360</v>
      </c>
      <c r="E258" s="1" t="s">
        <v>29</v>
      </c>
      <c r="F258" s="1" t="s">
        <v>1360</v>
      </c>
      <c r="G258" s="1" t="s">
        <v>55</v>
      </c>
      <c r="H258" s="1" t="s">
        <v>63</v>
      </c>
      <c r="I258" s="1" t="s">
        <v>32</v>
      </c>
      <c r="J258" s="1" t="s">
        <v>32</v>
      </c>
      <c r="K258" s="1" t="s">
        <v>586</v>
      </c>
      <c r="L258">
        <v>3</v>
      </c>
      <c r="M258">
        <v>0</v>
      </c>
      <c r="N258">
        <v>0</v>
      </c>
      <c r="O258">
        <v>6</v>
      </c>
      <c r="P258">
        <v>3</v>
      </c>
      <c r="Q258">
        <v>0</v>
      </c>
      <c r="R258">
        <v>0</v>
      </c>
      <c r="S258">
        <v>1</v>
      </c>
      <c r="T258">
        <v>1</v>
      </c>
      <c r="U258" s="1" t="s">
        <v>587</v>
      </c>
      <c r="V258" s="1" t="s">
        <v>588</v>
      </c>
      <c r="W258" s="1">
        <f t="shared" ref="W258:W321" si="4">VALUE(SUBSTITUTE(TRIM(V258),".", ","))</f>
        <v>263.97000000000003</v>
      </c>
      <c r="X258" s="1" t="s">
        <v>310</v>
      </c>
      <c r="Y258">
        <v>1</v>
      </c>
      <c r="Z258">
        <v>1</v>
      </c>
      <c r="AA258">
        <v>78</v>
      </c>
    </row>
    <row r="259" spans="1:27" x14ac:dyDescent="0.3">
      <c r="A259" s="1" t="s">
        <v>1361</v>
      </c>
      <c r="B259">
        <v>258</v>
      </c>
      <c r="C259" s="1" t="s">
        <v>1362</v>
      </c>
      <c r="D259" s="1" t="s">
        <v>1363</v>
      </c>
      <c r="E259" s="1" t="s">
        <v>39</v>
      </c>
      <c r="F259" s="1" t="s">
        <v>1363</v>
      </c>
      <c r="G259" s="1" t="s">
        <v>630</v>
      </c>
      <c r="H259" s="1" t="s">
        <v>74</v>
      </c>
      <c r="I259" s="1" t="s">
        <v>32</v>
      </c>
      <c r="J259" s="1" t="s">
        <v>74</v>
      </c>
      <c r="K259" s="1" t="s">
        <v>1364</v>
      </c>
      <c r="L259">
        <v>3</v>
      </c>
      <c r="M259">
        <v>2</v>
      </c>
      <c r="N259">
        <v>0</v>
      </c>
      <c r="O259">
        <v>1</v>
      </c>
      <c r="P259">
        <v>5</v>
      </c>
      <c r="Q259">
        <v>0</v>
      </c>
      <c r="R259">
        <v>0</v>
      </c>
      <c r="S259">
        <v>1</v>
      </c>
      <c r="T259">
        <v>1</v>
      </c>
      <c r="U259" s="1" t="s">
        <v>1364</v>
      </c>
      <c r="V259" s="1" t="s">
        <v>78</v>
      </c>
      <c r="W259" s="1">
        <f t="shared" si="4"/>
        <v>54.92</v>
      </c>
      <c r="X259" s="1" t="s">
        <v>314</v>
      </c>
      <c r="Y259">
        <v>1</v>
      </c>
      <c r="Z259">
        <v>1</v>
      </c>
      <c r="AA259">
        <v>79</v>
      </c>
    </row>
    <row r="260" spans="1:27" x14ac:dyDescent="0.3">
      <c r="A260" s="1" t="s">
        <v>1365</v>
      </c>
      <c r="B260">
        <v>259</v>
      </c>
      <c r="C260" s="1" t="s">
        <v>1366</v>
      </c>
      <c r="D260" s="1" t="s">
        <v>1367</v>
      </c>
      <c r="E260" s="1" t="s">
        <v>41</v>
      </c>
      <c r="F260" s="1" t="s">
        <v>1367</v>
      </c>
      <c r="G260" s="1" t="s">
        <v>636</v>
      </c>
      <c r="H260" s="1" t="s">
        <v>29</v>
      </c>
      <c r="I260" s="1" t="s">
        <v>32</v>
      </c>
      <c r="J260" s="1" t="s">
        <v>29</v>
      </c>
      <c r="K260" s="1" t="s">
        <v>359</v>
      </c>
      <c r="L260">
        <v>3</v>
      </c>
      <c r="M260">
        <v>0</v>
      </c>
      <c r="N260">
        <v>0</v>
      </c>
      <c r="O260">
        <v>2</v>
      </c>
      <c r="P260">
        <v>3</v>
      </c>
      <c r="Q260">
        <v>0</v>
      </c>
      <c r="R260">
        <v>0</v>
      </c>
      <c r="S260">
        <v>1</v>
      </c>
      <c r="T260">
        <v>1</v>
      </c>
      <c r="U260" s="1" t="s">
        <v>360</v>
      </c>
      <c r="V260" s="1" t="s">
        <v>87</v>
      </c>
      <c r="W260" s="1">
        <f t="shared" si="4"/>
        <v>274.58999999999997</v>
      </c>
      <c r="X260" s="1" t="s">
        <v>468</v>
      </c>
      <c r="Y260">
        <v>1</v>
      </c>
      <c r="Z260">
        <v>1</v>
      </c>
      <c r="AA260">
        <v>80</v>
      </c>
    </row>
    <row r="261" spans="1:27" x14ac:dyDescent="0.3">
      <c r="A261" s="1" t="s">
        <v>1368</v>
      </c>
      <c r="B261">
        <v>260</v>
      </c>
      <c r="C261" s="1" t="s">
        <v>1369</v>
      </c>
      <c r="D261" s="1" t="s">
        <v>1370</v>
      </c>
      <c r="E261" s="1" t="s">
        <v>32</v>
      </c>
      <c r="F261" s="1" t="s">
        <v>1371</v>
      </c>
      <c r="G261" s="1" t="s">
        <v>641</v>
      </c>
      <c r="H261" s="1" t="s">
        <v>32</v>
      </c>
      <c r="I261" s="1" t="s">
        <v>32</v>
      </c>
      <c r="J261" s="1" t="s">
        <v>75</v>
      </c>
      <c r="K261" s="1" t="s">
        <v>541</v>
      </c>
      <c r="L261">
        <v>1</v>
      </c>
      <c r="M261">
        <v>1</v>
      </c>
      <c r="N261">
        <v>0</v>
      </c>
      <c r="O261">
        <v>3</v>
      </c>
      <c r="P261">
        <v>2</v>
      </c>
      <c r="Q261">
        <v>0</v>
      </c>
      <c r="R261">
        <v>0</v>
      </c>
      <c r="S261">
        <v>1</v>
      </c>
      <c r="T261">
        <v>1</v>
      </c>
      <c r="U261" s="1" t="s">
        <v>542</v>
      </c>
      <c r="V261" s="1" t="s">
        <v>96</v>
      </c>
      <c r="W261" s="1">
        <f t="shared" si="4"/>
        <v>229.39</v>
      </c>
      <c r="X261" s="1" t="s">
        <v>543</v>
      </c>
      <c r="Y261">
        <v>1</v>
      </c>
      <c r="Z261">
        <v>1</v>
      </c>
      <c r="AA261">
        <v>81</v>
      </c>
    </row>
    <row r="262" spans="1:27" x14ac:dyDescent="0.3">
      <c r="A262" s="1" t="s">
        <v>1372</v>
      </c>
      <c r="B262">
        <v>261</v>
      </c>
      <c r="C262" s="1" t="s">
        <v>1373</v>
      </c>
      <c r="D262" s="1" t="s">
        <v>1374</v>
      </c>
      <c r="E262" s="1" t="s">
        <v>29</v>
      </c>
      <c r="F262" s="1" t="s">
        <v>1375</v>
      </c>
      <c r="G262" s="1" t="s">
        <v>647</v>
      </c>
      <c r="H262" s="1" t="s">
        <v>41</v>
      </c>
      <c r="I262" s="1" t="s">
        <v>33</v>
      </c>
      <c r="J262" s="1" t="s">
        <v>33</v>
      </c>
      <c r="K262" s="1" t="s">
        <v>34</v>
      </c>
      <c r="L262">
        <v>1</v>
      </c>
      <c r="M262">
        <v>0</v>
      </c>
      <c r="N262">
        <v>0</v>
      </c>
      <c r="O262">
        <v>4</v>
      </c>
      <c r="P262">
        <v>1</v>
      </c>
      <c r="Q262">
        <v>1</v>
      </c>
      <c r="R262">
        <v>0</v>
      </c>
      <c r="S262">
        <v>0</v>
      </c>
      <c r="T262">
        <v>0</v>
      </c>
      <c r="U262" s="1" t="s">
        <v>749</v>
      </c>
      <c r="V262" s="1">
        <v>0</v>
      </c>
      <c r="W262" s="1">
        <f t="shared" si="4"/>
        <v>0</v>
      </c>
      <c r="X262" s="1" t="s">
        <v>749</v>
      </c>
      <c r="Y262">
        <v>1</v>
      </c>
      <c r="Z262">
        <v>0</v>
      </c>
      <c r="AA262">
        <v>82</v>
      </c>
    </row>
    <row r="263" spans="1:27" x14ac:dyDescent="0.3">
      <c r="A263" s="1" t="s">
        <v>1376</v>
      </c>
      <c r="B263">
        <v>262</v>
      </c>
      <c r="C263" s="1" t="s">
        <v>1377</v>
      </c>
      <c r="D263" s="1" t="s">
        <v>1378</v>
      </c>
      <c r="E263" s="1" t="s">
        <v>39</v>
      </c>
      <c r="F263" s="1" t="s">
        <v>1379</v>
      </c>
      <c r="G263" s="1" t="s">
        <v>652</v>
      </c>
      <c r="H263" s="1" t="s">
        <v>48</v>
      </c>
      <c r="I263" s="1" t="s">
        <v>33</v>
      </c>
      <c r="J263" s="1" t="s">
        <v>33</v>
      </c>
      <c r="K263" s="1" t="s">
        <v>34</v>
      </c>
      <c r="L263">
        <v>1</v>
      </c>
      <c r="M263">
        <v>0</v>
      </c>
      <c r="N263">
        <v>0</v>
      </c>
      <c r="O263">
        <v>5</v>
      </c>
      <c r="P263">
        <v>1</v>
      </c>
      <c r="Q263">
        <v>1</v>
      </c>
      <c r="R263">
        <v>0</v>
      </c>
      <c r="S263">
        <v>0</v>
      </c>
      <c r="T263">
        <v>0</v>
      </c>
      <c r="U263" s="1" t="s">
        <v>677</v>
      </c>
      <c r="V263" s="1">
        <v>0</v>
      </c>
      <c r="W263" s="1">
        <f t="shared" si="4"/>
        <v>0</v>
      </c>
      <c r="X263" s="1" t="s">
        <v>677</v>
      </c>
      <c r="Y263">
        <v>1</v>
      </c>
      <c r="Z263">
        <v>0</v>
      </c>
      <c r="AA263">
        <v>83</v>
      </c>
    </row>
    <row r="264" spans="1:27" x14ac:dyDescent="0.3">
      <c r="A264" s="1" t="s">
        <v>1380</v>
      </c>
      <c r="B264">
        <v>263</v>
      </c>
      <c r="C264" s="1" t="s">
        <v>1381</v>
      </c>
      <c r="D264" s="1" t="s">
        <v>555</v>
      </c>
      <c r="E264" s="1" t="s">
        <v>41</v>
      </c>
      <c r="F264" s="1" t="s">
        <v>1382</v>
      </c>
      <c r="G264" s="1" t="s">
        <v>658</v>
      </c>
      <c r="H264" s="1" t="s">
        <v>55</v>
      </c>
      <c r="I264" s="1" t="s">
        <v>33</v>
      </c>
      <c r="J264" s="1" t="s">
        <v>33</v>
      </c>
      <c r="K264" s="1" t="s">
        <v>34</v>
      </c>
      <c r="L264">
        <v>2</v>
      </c>
      <c r="M264">
        <v>0</v>
      </c>
      <c r="N264">
        <v>0</v>
      </c>
      <c r="O264">
        <v>6</v>
      </c>
      <c r="P264">
        <v>2</v>
      </c>
      <c r="Q264">
        <v>1</v>
      </c>
      <c r="R264">
        <v>0</v>
      </c>
      <c r="S264">
        <v>0</v>
      </c>
      <c r="T264">
        <v>0</v>
      </c>
      <c r="U264" s="1" t="s">
        <v>1383</v>
      </c>
      <c r="V264" s="1">
        <v>0</v>
      </c>
      <c r="W264" s="1">
        <f t="shared" si="4"/>
        <v>0</v>
      </c>
      <c r="X264" s="1" t="s">
        <v>1383</v>
      </c>
      <c r="Y264">
        <v>1</v>
      </c>
      <c r="Z264">
        <v>0</v>
      </c>
      <c r="AA264">
        <v>84</v>
      </c>
    </row>
    <row r="265" spans="1:27" x14ac:dyDescent="0.3">
      <c r="A265" s="1" t="s">
        <v>1384</v>
      </c>
      <c r="B265">
        <v>264</v>
      </c>
      <c r="C265" s="1" t="s">
        <v>1385</v>
      </c>
      <c r="D265" s="1" t="s">
        <v>56</v>
      </c>
      <c r="E265" s="1" t="s">
        <v>32</v>
      </c>
      <c r="F265" s="1" t="s">
        <v>56</v>
      </c>
      <c r="G265" s="1" t="s">
        <v>56</v>
      </c>
      <c r="H265" s="1" t="s">
        <v>63</v>
      </c>
      <c r="I265" s="1" t="s">
        <v>56</v>
      </c>
      <c r="J265" s="1" t="s">
        <v>33</v>
      </c>
      <c r="K265" s="1" t="s">
        <v>34</v>
      </c>
      <c r="L265">
        <v>2</v>
      </c>
      <c r="M265">
        <v>2</v>
      </c>
      <c r="N265">
        <v>1</v>
      </c>
      <c r="O265">
        <v>1</v>
      </c>
      <c r="P265">
        <v>5</v>
      </c>
      <c r="Q265">
        <v>0</v>
      </c>
      <c r="R265">
        <v>1</v>
      </c>
      <c r="S265">
        <v>0</v>
      </c>
      <c r="T265">
        <v>0</v>
      </c>
      <c r="U265" s="1" t="s">
        <v>835</v>
      </c>
      <c r="V265" s="1">
        <v>0</v>
      </c>
      <c r="W265" s="1">
        <f t="shared" si="4"/>
        <v>0</v>
      </c>
      <c r="X265" s="1" t="s">
        <v>835</v>
      </c>
      <c r="Y265">
        <v>1</v>
      </c>
      <c r="Z265">
        <v>0</v>
      </c>
      <c r="AA265">
        <v>85</v>
      </c>
    </row>
    <row r="266" spans="1:27" x14ac:dyDescent="0.3">
      <c r="A266" s="1" t="s">
        <v>1386</v>
      </c>
      <c r="B266">
        <v>265</v>
      </c>
      <c r="C266" s="1" t="s">
        <v>1387</v>
      </c>
      <c r="D266" s="1" t="s">
        <v>1388</v>
      </c>
      <c r="E266" s="1" t="s">
        <v>29</v>
      </c>
      <c r="F266" s="1" t="s">
        <v>1317</v>
      </c>
      <c r="G266" s="1" t="s">
        <v>667</v>
      </c>
      <c r="H266" s="1" t="s">
        <v>74</v>
      </c>
      <c r="I266" s="1" t="s">
        <v>64</v>
      </c>
      <c r="J266" s="1" t="s">
        <v>32</v>
      </c>
      <c r="K266" s="1" t="s">
        <v>1389</v>
      </c>
      <c r="L266">
        <v>2</v>
      </c>
      <c r="M266">
        <v>0</v>
      </c>
      <c r="N266">
        <v>0</v>
      </c>
      <c r="O266">
        <v>2</v>
      </c>
      <c r="P266">
        <v>2</v>
      </c>
      <c r="Q266">
        <v>0</v>
      </c>
      <c r="R266">
        <v>0</v>
      </c>
      <c r="S266">
        <v>0</v>
      </c>
      <c r="T266">
        <v>0</v>
      </c>
      <c r="U266" s="1" t="s">
        <v>1390</v>
      </c>
      <c r="V266" s="1" t="s">
        <v>1391</v>
      </c>
      <c r="W266" s="1">
        <f t="shared" si="4"/>
        <v>186.11</v>
      </c>
      <c r="X266" s="1" t="s">
        <v>1392</v>
      </c>
      <c r="Y266">
        <v>1</v>
      </c>
      <c r="Z266">
        <v>0</v>
      </c>
      <c r="AA266">
        <v>86</v>
      </c>
    </row>
    <row r="267" spans="1:27" x14ac:dyDescent="0.3">
      <c r="A267" s="1" t="s">
        <v>1393</v>
      </c>
      <c r="B267">
        <v>266</v>
      </c>
      <c r="C267" s="1" t="s">
        <v>1394</v>
      </c>
      <c r="D267" s="1" t="s">
        <v>64</v>
      </c>
      <c r="E267" s="1" t="s">
        <v>39</v>
      </c>
      <c r="F267" s="1" t="s">
        <v>64</v>
      </c>
      <c r="G267" s="1" t="s">
        <v>64</v>
      </c>
      <c r="H267" s="1" t="s">
        <v>29</v>
      </c>
      <c r="I267" s="1" t="s">
        <v>64</v>
      </c>
      <c r="J267" s="1" t="s">
        <v>74</v>
      </c>
      <c r="K267" s="1" t="s">
        <v>1395</v>
      </c>
      <c r="L267">
        <v>3</v>
      </c>
      <c r="M267">
        <v>0</v>
      </c>
      <c r="N267">
        <v>0</v>
      </c>
      <c r="O267">
        <v>3</v>
      </c>
      <c r="P267">
        <v>3</v>
      </c>
      <c r="Q267">
        <v>0</v>
      </c>
      <c r="R267">
        <v>0</v>
      </c>
      <c r="S267">
        <v>0</v>
      </c>
      <c r="T267">
        <v>0</v>
      </c>
      <c r="U267" s="1" t="s">
        <v>1396</v>
      </c>
      <c r="V267" s="1" t="s">
        <v>226</v>
      </c>
      <c r="W267" s="1">
        <f t="shared" si="4"/>
        <v>94.92</v>
      </c>
      <c r="X267" s="1" t="s">
        <v>1397</v>
      </c>
      <c r="Y267">
        <v>1</v>
      </c>
      <c r="Z267">
        <v>0</v>
      </c>
      <c r="AA267">
        <v>87</v>
      </c>
    </row>
    <row r="268" spans="1:27" x14ac:dyDescent="0.3">
      <c r="A268" s="1" t="s">
        <v>1398</v>
      </c>
      <c r="B268">
        <v>267</v>
      </c>
      <c r="C268" s="1" t="s">
        <v>1399</v>
      </c>
      <c r="D268" s="1" t="s">
        <v>1400</v>
      </c>
      <c r="E268" s="1" t="s">
        <v>41</v>
      </c>
      <c r="F268" s="1" t="s">
        <v>578</v>
      </c>
      <c r="G268" s="1" t="s">
        <v>682</v>
      </c>
      <c r="H268" s="1" t="s">
        <v>32</v>
      </c>
      <c r="I268" s="1" t="s">
        <v>32</v>
      </c>
      <c r="J268" s="1" t="s">
        <v>74</v>
      </c>
      <c r="K268" s="1" t="s">
        <v>1401</v>
      </c>
      <c r="L268">
        <v>3</v>
      </c>
      <c r="M268">
        <v>0</v>
      </c>
      <c r="N268">
        <v>0</v>
      </c>
      <c r="O268">
        <v>4</v>
      </c>
      <c r="P268">
        <v>3</v>
      </c>
      <c r="Q268">
        <v>0</v>
      </c>
      <c r="R268">
        <v>0</v>
      </c>
      <c r="S268">
        <v>1</v>
      </c>
      <c r="T268">
        <v>1</v>
      </c>
      <c r="U268" s="1" t="s">
        <v>1401</v>
      </c>
      <c r="V268" s="1" t="s">
        <v>152</v>
      </c>
      <c r="W268" s="1">
        <f t="shared" si="4"/>
        <v>63.28</v>
      </c>
      <c r="X268" s="1" t="s">
        <v>714</v>
      </c>
      <c r="Y268">
        <v>1</v>
      </c>
      <c r="Z268">
        <v>1</v>
      </c>
      <c r="AA268">
        <v>88</v>
      </c>
    </row>
    <row r="269" spans="1:27" x14ac:dyDescent="0.3">
      <c r="A269" s="1" t="s">
        <v>1402</v>
      </c>
      <c r="B269">
        <v>268</v>
      </c>
      <c r="C269" s="1" t="s">
        <v>1403</v>
      </c>
      <c r="D269" s="1" t="s">
        <v>1404</v>
      </c>
      <c r="E269" s="1" t="s">
        <v>32</v>
      </c>
      <c r="F269" s="1" t="s">
        <v>1325</v>
      </c>
      <c r="G269" s="1" t="s">
        <v>689</v>
      </c>
      <c r="H269" s="1" t="s">
        <v>41</v>
      </c>
      <c r="I269" s="1" t="s">
        <v>32</v>
      </c>
      <c r="J269" s="1" t="s">
        <v>29</v>
      </c>
      <c r="K269" s="1" t="s">
        <v>719</v>
      </c>
      <c r="L269">
        <v>3</v>
      </c>
      <c r="M269">
        <v>1</v>
      </c>
      <c r="N269">
        <v>0</v>
      </c>
      <c r="O269">
        <v>5</v>
      </c>
      <c r="P269">
        <v>4</v>
      </c>
      <c r="Q269">
        <v>0</v>
      </c>
      <c r="R269">
        <v>0</v>
      </c>
      <c r="S269">
        <v>1</v>
      </c>
      <c r="T269">
        <v>1</v>
      </c>
      <c r="U269" s="1" t="s">
        <v>720</v>
      </c>
      <c r="V269" s="1" t="s">
        <v>161</v>
      </c>
      <c r="W269" s="1">
        <f t="shared" si="4"/>
        <v>66.67</v>
      </c>
      <c r="X269" s="1" t="s">
        <v>721</v>
      </c>
      <c r="Y269">
        <v>1</v>
      </c>
      <c r="Z269">
        <v>1</v>
      </c>
      <c r="AA269">
        <v>89</v>
      </c>
    </row>
    <row r="270" spans="1:27" x14ac:dyDescent="0.3">
      <c r="A270" s="1" t="s">
        <v>1405</v>
      </c>
      <c r="B270">
        <v>269</v>
      </c>
      <c r="C270" s="1" t="s">
        <v>1406</v>
      </c>
      <c r="D270" s="1" t="s">
        <v>1407</v>
      </c>
      <c r="E270" s="1" t="s">
        <v>29</v>
      </c>
      <c r="F270" s="1" t="s">
        <v>1407</v>
      </c>
      <c r="G270" s="1" t="s">
        <v>695</v>
      </c>
      <c r="H270" s="1" t="s">
        <v>48</v>
      </c>
      <c r="I270" s="1" t="s">
        <v>32</v>
      </c>
      <c r="J270" s="1" t="s">
        <v>75</v>
      </c>
      <c r="K270" s="1" t="s">
        <v>725</v>
      </c>
      <c r="L270">
        <v>3</v>
      </c>
      <c r="M270">
        <v>0</v>
      </c>
      <c r="N270">
        <v>0</v>
      </c>
      <c r="O270">
        <v>6</v>
      </c>
      <c r="P270">
        <v>3</v>
      </c>
      <c r="Q270">
        <v>0</v>
      </c>
      <c r="R270">
        <v>0</v>
      </c>
      <c r="S270">
        <v>1</v>
      </c>
      <c r="T270">
        <v>1</v>
      </c>
      <c r="U270" s="1" t="s">
        <v>726</v>
      </c>
      <c r="V270" s="1" t="s">
        <v>169</v>
      </c>
      <c r="W270" s="1">
        <f t="shared" si="4"/>
        <v>270.07</v>
      </c>
      <c r="X270" s="1" t="s">
        <v>727</v>
      </c>
      <c r="Y270">
        <v>1</v>
      </c>
      <c r="Z270">
        <v>1</v>
      </c>
      <c r="AA270">
        <v>90</v>
      </c>
    </row>
    <row r="271" spans="1:27" x14ac:dyDescent="0.3">
      <c r="A271" s="1" t="s">
        <v>1408</v>
      </c>
      <c r="B271">
        <v>270</v>
      </c>
      <c r="C271" s="1" t="s">
        <v>1409</v>
      </c>
      <c r="D271" s="1" t="s">
        <v>1410</v>
      </c>
      <c r="E271" s="1" t="s">
        <v>39</v>
      </c>
      <c r="F271" s="1" t="s">
        <v>1410</v>
      </c>
      <c r="G271" s="1" t="s">
        <v>703</v>
      </c>
      <c r="H271" s="1" t="s">
        <v>55</v>
      </c>
      <c r="I271" s="1" t="s">
        <v>32</v>
      </c>
      <c r="J271" s="1" t="s">
        <v>41</v>
      </c>
      <c r="K271" s="1" t="s">
        <v>1411</v>
      </c>
      <c r="L271">
        <v>1</v>
      </c>
      <c r="M271">
        <v>2</v>
      </c>
      <c r="N271">
        <v>0</v>
      </c>
      <c r="O271">
        <v>1</v>
      </c>
      <c r="P271">
        <v>3</v>
      </c>
      <c r="Q271">
        <v>0</v>
      </c>
      <c r="R271">
        <v>0</v>
      </c>
      <c r="S271">
        <v>1</v>
      </c>
      <c r="T271">
        <v>1</v>
      </c>
      <c r="U271" s="1" t="s">
        <v>1411</v>
      </c>
      <c r="V271" s="1" t="s">
        <v>177</v>
      </c>
      <c r="W271" s="1">
        <f t="shared" si="4"/>
        <v>61.02</v>
      </c>
      <c r="X271" s="1" t="s">
        <v>1412</v>
      </c>
      <c r="Y271">
        <v>1</v>
      </c>
      <c r="Z271">
        <v>1</v>
      </c>
      <c r="AA271">
        <v>1</v>
      </c>
    </row>
    <row r="272" spans="1:27" x14ac:dyDescent="0.3">
      <c r="A272" s="1" t="s">
        <v>1413</v>
      </c>
      <c r="B272">
        <v>271</v>
      </c>
      <c r="C272" s="1" t="s">
        <v>1414</v>
      </c>
      <c r="D272" s="1" t="s">
        <v>712</v>
      </c>
      <c r="E272" s="1" t="s">
        <v>41</v>
      </c>
      <c r="F272" s="1" t="s">
        <v>712</v>
      </c>
      <c r="G272" s="1" t="s">
        <v>712</v>
      </c>
      <c r="H272" s="1" t="s">
        <v>63</v>
      </c>
      <c r="I272" s="1" t="s">
        <v>32</v>
      </c>
      <c r="J272" s="1" t="s">
        <v>32</v>
      </c>
      <c r="K272" s="1" t="s">
        <v>1415</v>
      </c>
      <c r="L272">
        <v>1</v>
      </c>
      <c r="M272">
        <v>0</v>
      </c>
      <c r="N272">
        <v>0</v>
      </c>
      <c r="O272">
        <v>2</v>
      </c>
      <c r="P272">
        <v>1</v>
      </c>
      <c r="Q272">
        <v>0</v>
      </c>
      <c r="R272">
        <v>0</v>
      </c>
      <c r="S272">
        <v>1</v>
      </c>
      <c r="T272">
        <v>1</v>
      </c>
      <c r="U272" s="1" t="s">
        <v>1416</v>
      </c>
      <c r="V272" s="1" t="s">
        <v>184</v>
      </c>
      <c r="W272" s="1">
        <f t="shared" si="4"/>
        <v>265.77999999999997</v>
      </c>
      <c r="X272" s="1" t="s">
        <v>1417</v>
      </c>
      <c r="Y272">
        <v>1</v>
      </c>
      <c r="Z272">
        <v>1</v>
      </c>
      <c r="AA272">
        <v>2</v>
      </c>
    </row>
    <row r="273" spans="1:27" x14ac:dyDescent="0.3">
      <c r="A273" s="1" t="s">
        <v>1418</v>
      </c>
      <c r="B273">
        <v>272</v>
      </c>
      <c r="C273" s="1" t="s">
        <v>1419</v>
      </c>
      <c r="D273" s="1" t="s">
        <v>1420</v>
      </c>
      <c r="E273" s="1" t="s">
        <v>32</v>
      </c>
      <c r="F273" s="1" t="s">
        <v>718</v>
      </c>
      <c r="G273" s="1" t="s">
        <v>718</v>
      </c>
      <c r="H273" s="1" t="s">
        <v>74</v>
      </c>
      <c r="I273" s="1" t="s">
        <v>32</v>
      </c>
      <c r="J273" s="1" t="s">
        <v>74</v>
      </c>
      <c r="K273" s="1" t="s">
        <v>1421</v>
      </c>
      <c r="L273">
        <v>1</v>
      </c>
      <c r="M273">
        <v>1</v>
      </c>
      <c r="N273">
        <v>0</v>
      </c>
      <c r="O273">
        <v>3</v>
      </c>
      <c r="P273">
        <v>2</v>
      </c>
      <c r="Q273">
        <v>0</v>
      </c>
      <c r="R273">
        <v>0</v>
      </c>
      <c r="S273">
        <v>1</v>
      </c>
      <c r="T273">
        <v>1</v>
      </c>
      <c r="U273" s="1" t="s">
        <v>1422</v>
      </c>
      <c r="V273" s="1" t="s">
        <v>192</v>
      </c>
      <c r="W273" s="1">
        <f t="shared" si="4"/>
        <v>220.58</v>
      </c>
      <c r="X273" s="1" t="s">
        <v>663</v>
      </c>
      <c r="Y273">
        <v>1</v>
      </c>
      <c r="Z273">
        <v>1</v>
      </c>
      <c r="AA273">
        <v>3</v>
      </c>
    </row>
    <row r="274" spans="1:27" x14ac:dyDescent="0.3">
      <c r="A274" s="1" t="s">
        <v>1423</v>
      </c>
      <c r="B274">
        <v>273</v>
      </c>
      <c r="C274" s="1" t="s">
        <v>1424</v>
      </c>
      <c r="D274" s="1" t="s">
        <v>29</v>
      </c>
      <c r="E274" s="1" t="s">
        <v>29</v>
      </c>
      <c r="F274" s="1" t="s">
        <v>29</v>
      </c>
      <c r="G274" s="1" t="s">
        <v>29</v>
      </c>
      <c r="H274" s="1" t="s">
        <v>29</v>
      </c>
      <c r="I274" s="1" t="s">
        <v>32</v>
      </c>
      <c r="J274" s="1" t="s">
        <v>29</v>
      </c>
      <c r="K274" s="1" t="s">
        <v>815</v>
      </c>
      <c r="L274">
        <v>2</v>
      </c>
      <c r="M274">
        <v>0</v>
      </c>
      <c r="N274">
        <v>0</v>
      </c>
      <c r="O274">
        <v>4</v>
      </c>
      <c r="P274">
        <v>2</v>
      </c>
      <c r="Q274">
        <v>0</v>
      </c>
      <c r="R274">
        <v>0</v>
      </c>
      <c r="S274">
        <v>1</v>
      </c>
      <c r="T274">
        <v>1</v>
      </c>
      <c r="U274" s="1" t="s">
        <v>815</v>
      </c>
      <c r="V274" s="1" t="s">
        <v>104</v>
      </c>
      <c r="W274" s="1">
        <f t="shared" si="4"/>
        <v>76.84</v>
      </c>
      <c r="X274" s="1" t="s">
        <v>816</v>
      </c>
      <c r="Y274">
        <v>1</v>
      </c>
      <c r="Z274">
        <v>1</v>
      </c>
      <c r="AA274">
        <v>4</v>
      </c>
    </row>
    <row r="275" spans="1:27" x14ac:dyDescent="0.3">
      <c r="A275" s="1" t="s">
        <v>1425</v>
      </c>
      <c r="B275">
        <v>274</v>
      </c>
      <c r="C275" s="1" t="s">
        <v>1426</v>
      </c>
      <c r="D275" s="1" t="s">
        <v>1427</v>
      </c>
      <c r="E275" s="1" t="s">
        <v>39</v>
      </c>
      <c r="F275" s="1" t="s">
        <v>506</v>
      </c>
      <c r="G275" s="1" t="s">
        <v>730</v>
      </c>
      <c r="H275" s="1" t="s">
        <v>32</v>
      </c>
      <c r="I275" s="1" t="s">
        <v>32</v>
      </c>
      <c r="J275" s="1" t="s">
        <v>75</v>
      </c>
      <c r="K275" s="1" t="s">
        <v>1428</v>
      </c>
      <c r="L275">
        <v>2</v>
      </c>
      <c r="M275">
        <v>0</v>
      </c>
      <c r="N275">
        <v>0</v>
      </c>
      <c r="O275">
        <v>5</v>
      </c>
      <c r="P275">
        <v>2</v>
      </c>
      <c r="Q275">
        <v>0</v>
      </c>
      <c r="R275">
        <v>0</v>
      </c>
      <c r="S275">
        <v>1</v>
      </c>
      <c r="T275">
        <v>1</v>
      </c>
      <c r="U275" s="1" t="s">
        <v>1429</v>
      </c>
      <c r="V275" s="1" t="s">
        <v>111</v>
      </c>
      <c r="W275" s="1">
        <f t="shared" si="4"/>
        <v>80.229999999999905</v>
      </c>
      <c r="X275" s="1" t="s">
        <v>677</v>
      </c>
      <c r="Y275">
        <v>1</v>
      </c>
      <c r="Z275">
        <v>1</v>
      </c>
      <c r="AA275">
        <v>5</v>
      </c>
    </row>
    <row r="276" spans="1:27" x14ac:dyDescent="0.3">
      <c r="A276" s="1" t="s">
        <v>1430</v>
      </c>
      <c r="B276">
        <v>275</v>
      </c>
      <c r="C276" s="1" t="s">
        <v>1431</v>
      </c>
      <c r="D276" s="1" t="s">
        <v>1432</v>
      </c>
      <c r="E276" s="1" t="s">
        <v>41</v>
      </c>
      <c r="F276" s="1" t="s">
        <v>1433</v>
      </c>
      <c r="G276" s="1" t="s">
        <v>735</v>
      </c>
      <c r="H276" s="1" t="s">
        <v>41</v>
      </c>
      <c r="I276" s="1" t="s">
        <v>32</v>
      </c>
      <c r="J276" s="1" t="s">
        <v>41</v>
      </c>
      <c r="K276" s="1" t="s">
        <v>1434</v>
      </c>
      <c r="L276">
        <v>2</v>
      </c>
      <c r="M276">
        <v>0</v>
      </c>
      <c r="N276">
        <v>0</v>
      </c>
      <c r="O276">
        <v>6</v>
      </c>
      <c r="P276">
        <v>2</v>
      </c>
      <c r="Q276">
        <v>0</v>
      </c>
      <c r="R276">
        <v>0</v>
      </c>
      <c r="S276">
        <v>1</v>
      </c>
      <c r="T276">
        <v>1</v>
      </c>
      <c r="U276" s="1" t="s">
        <v>1435</v>
      </c>
      <c r="V276" s="1" t="s">
        <v>169</v>
      </c>
      <c r="W276" s="1">
        <f t="shared" si="4"/>
        <v>270.07</v>
      </c>
      <c r="X276" s="1" t="s">
        <v>1436</v>
      </c>
      <c r="Y276">
        <v>1</v>
      </c>
      <c r="Z276">
        <v>1</v>
      </c>
      <c r="AA276">
        <v>6</v>
      </c>
    </row>
    <row r="277" spans="1:27" x14ac:dyDescent="0.3">
      <c r="A277" s="1" t="s">
        <v>1437</v>
      </c>
      <c r="B277">
        <v>276</v>
      </c>
      <c r="C277" s="1" t="s">
        <v>1438</v>
      </c>
      <c r="D277" s="1" t="s">
        <v>1439</v>
      </c>
      <c r="E277" s="1" t="s">
        <v>32</v>
      </c>
      <c r="F277" s="1" t="s">
        <v>620</v>
      </c>
      <c r="G277" s="1" t="s">
        <v>742</v>
      </c>
      <c r="H277" s="1" t="s">
        <v>48</v>
      </c>
      <c r="I277" s="1" t="s">
        <v>32</v>
      </c>
      <c r="J277" s="1" t="s">
        <v>32</v>
      </c>
      <c r="K277" s="1" t="s">
        <v>1440</v>
      </c>
      <c r="L277">
        <v>3</v>
      </c>
      <c r="M277">
        <v>2</v>
      </c>
      <c r="N277">
        <v>1</v>
      </c>
      <c r="O277">
        <v>1</v>
      </c>
      <c r="P277">
        <v>6</v>
      </c>
      <c r="Q277">
        <v>0</v>
      </c>
      <c r="R277">
        <v>0</v>
      </c>
      <c r="S277">
        <v>1</v>
      </c>
      <c r="T277">
        <v>1</v>
      </c>
      <c r="U277" s="1" t="s">
        <v>1440</v>
      </c>
      <c r="V277" s="1" t="s">
        <v>127</v>
      </c>
      <c r="W277" s="1">
        <f t="shared" si="4"/>
        <v>47.46</v>
      </c>
      <c r="X277" s="1" t="s">
        <v>835</v>
      </c>
      <c r="Y277">
        <v>1</v>
      </c>
      <c r="Z277">
        <v>1</v>
      </c>
      <c r="AA277">
        <v>7</v>
      </c>
    </row>
    <row r="278" spans="1:27" x14ac:dyDescent="0.3">
      <c r="A278" s="1" t="s">
        <v>1441</v>
      </c>
      <c r="B278">
        <v>277</v>
      </c>
      <c r="C278" s="1" t="s">
        <v>1442</v>
      </c>
      <c r="D278" s="1" t="s">
        <v>1443</v>
      </c>
      <c r="E278" s="1" t="s">
        <v>29</v>
      </c>
      <c r="F278" s="1" t="s">
        <v>1444</v>
      </c>
      <c r="G278" s="1" t="s">
        <v>747</v>
      </c>
      <c r="H278" s="1" t="s">
        <v>55</v>
      </c>
      <c r="I278" s="1" t="s">
        <v>32</v>
      </c>
      <c r="J278" s="1" t="s">
        <v>74</v>
      </c>
      <c r="K278" s="1" t="s">
        <v>696</v>
      </c>
      <c r="L278">
        <v>3</v>
      </c>
      <c r="M278">
        <v>0</v>
      </c>
      <c r="N278">
        <v>0</v>
      </c>
      <c r="O278">
        <v>2</v>
      </c>
      <c r="P278">
        <v>3</v>
      </c>
      <c r="Q278">
        <v>0</v>
      </c>
      <c r="R278">
        <v>0</v>
      </c>
      <c r="S278">
        <v>1</v>
      </c>
      <c r="T278">
        <v>1</v>
      </c>
      <c r="U278" s="1" t="s">
        <v>697</v>
      </c>
      <c r="V278" s="1" t="s">
        <v>288</v>
      </c>
      <c r="W278" s="1">
        <f t="shared" si="4"/>
        <v>301.70999999999998</v>
      </c>
      <c r="X278" s="1" t="s">
        <v>698</v>
      </c>
      <c r="Y278">
        <v>1</v>
      </c>
      <c r="Z278">
        <v>1</v>
      </c>
      <c r="AA278">
        <v>8</v>
      </c>
    </row>
    <row r="279" spans="1:27" x14ac:dyDescent="0.3">
      <c r="A279" s="1" t="s">
        <v>1445</v>
      </c>
      <c r="B279">
        <v>278</v>
      </c>
      <c r="C279" s="1" t="s">
        <v>1446</v>
      </c>
      <c r="D279" s="1" t="s">
        <v>63</v>
      </c>
      <c r="E279" s="1" t="s">
        <v>39</v>
      </c>
      <c r="F279" s="1" t="s">
        <v>63</v>
      </c>
      <c r="G279" s="1" t="s">
        <v>754</v>
      </c>
      <c r="H279" s="1" t="s">
        <v>63</v>
      </c>
      <c r="I279" s="1" t="s">
        <v>32</v>
      </c>
      <c r="J279" s="1" t="s">
        <v>29</v>
      </c>
      <c r="K279" s="1" t="s">
        <v>1447</v>
      </c>
      <c r="L279">
        <v>3</v>
      </c>
      <c r="M279">
        <v>0</v>
      </c>
      <c r="N279">
        <v>0</v>
      </c>
      <c r="O279">
        <v>3</v>
      </c>
      <c r="P279">
        <v>3</v>
      </c>
      <c r="Q279">
        <v>0</v>
      </c>
      <c r="R279">
        <v>0</v>
      </c>
      <c r="S279">
        <v>1</v>
      </c>
      <c r="T279">
        <v>1</v>
      </c>
      <c r="U279" s="1" t="s">
        <v>1448</v>
      </c>
      <c r="V279" s="1" t="s">
        <v>706</v>
      </c>
      <c r="W279" s="1">
        <f t="shared" si="4"/>
        <v>195.94</v>
      </c>
      <c r="X279" s="1" t="s">
        <v>776</v>
      </c>
      <c r="Y279">
        <v>1</v>
      </c>
      <c r="Z279">
        <v>1</v>
      </c>
      <c r="AA279">
        <v>9</v>
      </c>
    </row>
    <row r="280" spans="1:27" x14ac:dyDescent="0.3">
      <c r="A280" s="1" t="s">
        <v>1449</v>
      </c>
      <c r="B280">
        <v>279</v>
      </c>
      <c r="C280" s="1" t="s">
        <v>1450</v>
      </c>
      <c r="D280" s="1" t="s">
        <v>1451</v>
      </c>
      <c r="E280" s="1" t="s">
        <v>41</v>
      </c>
      <c r="F280" s="1" t="s">
        <v>1452</v>
      </c>
      <c r="G280" s="1" t="s">
        <v>760</v>
      </c>
      <c r="H280" s="1" t="s">
        <v>74</v>
      </c>
      <c r="I280" s="1" t="s">
        <v>32</v>
      </c>
      <c r="J280" s="1" t="s">
        <v>75</v>
      </c>
      <c r="K280" s="1" t="s">
        <v>1453</v>
      </c>
      <c r="L280">
        <v>3</v>
      </c>
      <c r="M280">
        <v>0</v>
      </c>
      <c r="N280">
        <v>0</v>
      </c>
      <c r="O280">
        <v>4</v>
      </c>
      <c r="P280">
        <v>3</v>
      </c>
      <c r="Q280">
        <v>0</v>
      </c>
      <c r="R280">
        <v>0</v>
      </c>
      <c r="S280">
        <v>1</v>
      </c>
      <c r="T280">
        <v>1</v>
      </c>
      <c r="U280" s="1" t="s">
        <v>1453</v>
      </c>
      <c r="V280" s="1" t="s">
        <v>232</v>
      </c>
      <c r="W280" s="1">
        <f t="shared" si="4"/>
        <v>56.95</v>
      </c>
      <c r="X280" s="1" t="s">
        <v>1454</v>
      </c>
      <c r="Y280">
        <v>1</v>
      </c>
      <c r="Z280">
        <v>1</v>
      </c>
      <c r="AA280">
        <v>10</v>
      </c>
    </row>
    <row r="281" spans="1:27" x14ac:dyDescent="0.3">
      <c r="A281" s="1" t="s">
        <v>1455</v>
      </c>
      <c r="B281">
        <v>280</v>
      </c>
      <c r="C281" s="1" t="s">
        <v>1456</v>
      </c>
      <c r="D281" s="1" t="s">
        <v>1457</v>
      </c>
      <c r="E281" s="1" t="s">
        <v>32</v>
      </c>
      <c r="F281" s="1" t="s">
        <v>1457</v>
      </c>
      <c r="G281" s="1" t="s">
        <v>763</v>
      </c>
      <c r="H281" s="1" t="s">
        <v>29</v>
      </c>
      <c r="I281" s="1" t="s">
        <v>32</v>
      </c>
      <c r="J281" s="1" t="s">
        <v>41</v>
      </c>
      <c r="K281" s="1" t="s">
        <v>1458</v>
      </c>
      <c r="L281">
        <v>1</v>
      </c>
      <c r="M281">
        <v>1</v>
      </c>
      <c r="N281">
        <v>0</v>
      </c>
      <c r="O281">
        <v>5</v>
      </c>
      <c r="P281">
        <v>2</v>
      </c>
      <c r="Q281">
        <v>0</v>
      </c>
      <c r="R281">
        <v>0</v>
      </c>
      <c r="S281">
        <v>1</v>
      </c>
      <c r="T281">
        <v>1</v>
      </c>
      <c r="U281" s="1" t="s">
        <v>1459</v>
      </c>
      <c r="V281" s="1" t="s">
        <v>161</v>
      </c>
      <c r="W281" s="1">
        <f t="shared" si="4"/>
        <v>66.67</v>
      </c>
      <c r="X281" s="1" t="s">
        <v>1460</v>
      </c>
      <c r="Y281">
        <v>1</v>
      </c>
      <c r="Z281">
        <v>1</v>
      </c>
      <c r="AA281">
        <v>11</v>
      </c>
    </row>
    <row r="282" spans="1:27" x14ac:dyDescent="0.3">
      <c r="A282" s="1" t="s">
        <v>1461</v>
      </c>
      <c r="B282">
        <v>281</v>
      </c>
      <c r="C282" s="1" t="s">
        <v>1462</v>
      </c>
      <c r="D282" s="1" t="s">
        <v>1463</v>
      </c>
      <c r="E282" s="1" t="s">
        <v>29</v>
      </c>
      <c r="F282" s="1" t="s">
        <v>1463</v>
      </c>
      <c r="G282" s="1" t="s">
        <v>30</v>
      </c>
      <c r="H282" s="1" t="s">
        <v>32</v>
      </c>
      <c r="I282" s="1" t="s">
        <v>33</v>
      </c>
      <c r="J282" s="1" t="s">
        <v>33</v>
      </c>
      <c r="K282" s="1" t="s">
        <v>34</v>
      </c>
      <c r="L282">
        <v>1</v>
      </c>
      <c r="M282">
        <v>0</v>
      </c>
      <c r="N282">
        <v>0</v>
      </c>
      <c r="O282">
        <v>6</v>
      </c>
      <c r="P282">
        <v>1</v>
      </c>
      <c r="Q282">
        <v>1</v>
      </c>
      <c r="R282">
        <v>0</v>
      </c>
      <c r="S282">
        <v>0</v>
      </c>
      <c r="T282">
        <v>0</v>
      </c>
      <c r="U282" s="1" t="s">
        <v>648</v>
      </c>
      <c r="V282" s="1">
        <v>0</v>
      </c>
      <c r="W282" s="1">
        <f t="shared" si="4"/>
        <v>0</v>
      </c>
      <c r="X282" s="1" t="s">
        <v>648</v>
      </c>
      <c r="Y282">
        <v>1</v>
      </c>
      <c r="Z282">
        <v>0</v>
      </c>
      <c r="AA282">
        <v>12</v>
      </c>
    </row>
    <row r="283" spans="1:27" x14ac:dyDescent="0.3">
      <c r="A283" s="1" t="s">
        <v>1464</v>
      </c>
      <c r="B283">
        <v>282</v>
      </c>
      <c r="C283" s="1" t="s">
        <v>1465</v>
      </c>
      <c r="D283" s="1" t="s">
        <v>1466</v>
      </c>
      <c r="E283" s="1" t="s">
        <v>39</v>
      </c>
      <c r="F283" s="1" t="s">
        <v>1378</v>
      </c>
      <c r="G283" s="1" t="s">
        <v>775</v>
      </c>
      <c r="H283" s="1" t="s">
        <v>41</v>
      </c>
      <c r="I283" s="1" t="s">
        <v>33</v>
      </c>
      <c r="J283" s="1" t="s">
        <v>33</v>
      </c>
      <c r="K283" s="1" t="s">
        <v>34</v>
      </c>
      <c r="L283">
        <v>1</v>
      </c>
      <c r="M283">
        <v>2</v>
      </c>
      <c r="N283">
        <v>0</v>
      </c>
      <c r="O283">
        <v>1</v>
      </c>
      <c r="P283">
        <v>3</v>
      </c>
      <c r="Q283">
        <v>1</v>
      </c>
      <c r="R283">
        <v>0</v>
      </c>
      <c r="S283">
        <v>0</v>
      </c>
      <c r="T283">
        <v>0</v>
      </c>
      <c r="U283" s="1" t="s">
        <v>653</v>
      </c>
      <c r="V283" s="1">
        <v>0</v>
      </c>
      <c r="W283" s="1">
        <f t="shared" si="4"/>
        <v>0</v>
      </c>
      <c r="X283" s="1" t="s">
        <v>653</v>
      </c>
      <c r="Y283">
        <v>1</v>
      </c>
      <c r="Z283">
        <v>0</v>
      </c>
      <c r="AA283">
        <v>13</v>
      </c>
    </row>
    <row r="284" spans="1:27" x14ac:dyDescent="0.3">
      <c r="A284" s="1" t="s">
        <v>1467</v>
      </c>
      <c r="B284">
        <v>283</v>
      </c>
      <c r="C284" s="1" t="s">
        <v>1468</v>
      </c>
      <c r="D284" s="1" t="s">
        <v>1469</v>
      </c>
      <c r="E284" s="1" t="s">
        <v>41</v>
      </c>
      <c r="F284" s="1" t="s">
        <v>555</v>
      </c>
      <c r="G284" s="1" t="s">
        <v>780</v>
      </c>
      <c r="H284" s="1" t="s">
        <v>48</v>
      </c>
      <c r="I284" s="1" t="s">
        <v>33</v>
      </c>
      <c r="J284" s="1" t="s">
        <v>33</v>
      </c>
      <c r="K284" s="1" t="s">
        <v>34</v>
      </c>
      <c r="L284">
        <v>2</v>
      </c>
      <c r="M284">
        <v>0</v>
      </c>
      <c r="N284">
        <v>0</v>
      </c>
      <c r="O284">
        <v>2</v>
      </c>
      <c r="P284">
        <v>2</v>
      </c>
      <c r="Q284">
        <v>1</v>
      </c>
      <c r="R284">
        <v>0</v>
      </c>
      <c r="S284">
        <v>0</v>
      </c>
      <c r="T284">
        <v>0</v>
      </c>
      <c r="U284" s="1" t="s">
        <v>659</v>
      </c>
      <c r="V284" s="1">
        <v>0</v>
      </c>
      <c r="W284" s="1">
        <f t="shared" si="4"/>
        <v>0</v>
      </c>
      <c r="X284" s="1" t="s">
        <v>659</v>
      </c>
      <c r="Y284">
        <v>1</v>
      </c>
      <c r="Z284">
        <v>0</v>
      </c>
      <c r="AA284">
        <v>14</v>
      </c>
    </row>
    <row r="285" spans="1:27" x14ac:dyDescent="0.3">
      <c r="A285" s="1" t="s">
        <v>1470</v>
      </c>
      <c r="B285">
        <v>284</v>
      </c>
      <c r="C285" s="1" t="s">
        <v>1471</v>
      </c>
      <c r="D285" s="1" t="s">
        <v>785</v>
      </c>
      <c r="E285" s="1" t="s">
        <v>32</v>
      </c>
      <c r="F285" s="1" t="s">
        <v>785</v>
      </c>
      <c r="G285" s="1" t="s">
        <v>785</v>
      </c>
      <c r="H285" s="1" t="s">
        <v>55</v>
      </c>
      <c r="I285" s="1" t="s">
        <v>56</v>
      </c>
      <c r="J285" s="1" t="s">
        <v>33</v>
      </c>
      <c r="K285" s="1" t="s">
        <v>34</v>
      </c>
      <c r="L285">
        <v>2</v>
      </c>
      <c r="M285">
        <v>1</v>
      </c>
      <c r="N285">
        <v>0</v>
      </c>
      <c r="O285">
        <v>3</v>
      </c>
      <c r="P285">
        <v>3</v>
      </c>
      <c r="Q285">
        <v>0</v>
      </c>
      <c r="R285">
        <v>1</v>
      </c>
      <c r="S285">
        <v>0</v>
      </c>
      <c r="T285">
        <v>0</v>
      </c>
      <c r="U285" s="1" t="s">
        <v>663</v>
      </c>
      <c r="V285" s="1">
        <v>0</v>
      </c>
      <c r="W285" s="1">
        <f t="shared" si="4"/>
        <v>0</v>
      </c>
      <c r="X285" s="1" t="s">
        <v>663</v>
      </c>
      <c r="Y285">
        <v>1</v>
      </c>
      <c r="Z285">
        <v>0</v>
      </c>
      <c r="AA285">
        <v>15</v>
      </c>
    </row>
    <row r="286" spans="1:27" x14ac:dyDescent="0.3">
      <c r="A286" s="1" t="s">
        <v>1472</v>
      </c>
      <c r="B286">
        <v>285</v>
      </c>
      <c r="C286" s="1" t="s">
        <v>1473</v>
      </c>
      <c r="D286" s="1" t="s">
        <v>789</v>
      </c>
      <c r="E286" s="1" t="s">
        <v>29</v>
      </c>
      <c r="F286" s="1" t="s">
        <v>789</v>
      </c>
      <c r="G286" s="1" t="s">
        <v>789</v>
      </c>
      <c r="H286" s="1" t="s">
        <v>63</v>
      </c>
      <c r="I286" s="1" t="s">
        <v>64</v>
      </c>
      <c r="J286" s="1" t="s">
        <v>74</v>
      </c>
      <c r="K286" s="1" t="s">
        <v>668</v>
      </c>
      <c r="L286">
        <v>2</v>
      </c>
      <c r="M286">
        <v>0</v>
      </c>
      <c r="N286">
        <v>0</v>
      </c>
      <c r="O286">
        <v>4</v>
      </c>
      <c r="P286">
        <v>2</v>
      </c>
      <c r="Q286">
        <v>0</v>
      </c>
      <c r="R286">
        <v>0</v>
      </c>
      <c r="S286">
        <v>0</v>
      </c>
      <c r="T286">
        <v>0</v>
      </c>
      <c r="U286" s="1" t="s">
        <v>669</v>
      </c>
      <c r="V286" s="1" t="s">
        <v>104</v>
      </c>
      <c r="W286" s="1">
        <f t="shared" si="4"/>
        <v>76.84</v>
      </c>
      <c r="X286" s="1" t="s">
        <v>670</v>
      </c>
      <c r="Y286">
        <v>1</v>
      </c>
      <c r="Z286">
        <v>0</v>
      </c>
      <c r="AA286">
        <v>16</v>
      </c>
    </row>
    <row r="287" spans="1:27" x14ac:dyDescent="0.3">
      <c r="A287" s="1" t="s">
        <v>1474</v>
      </c>
      <c r="B287">
        <v>286</v>
      </c>
      <c r="C287" s="1" t="s">
        <v>1475</v>
      </c>
      <c r="D287" s="1" t="s">
        <v>1476</v>
      </c>
      <c r="E287" s="1" t="s">
        <v>39</v>
      </c>
      <c r="F287" s="1" t="s">
        <v>1476</v>
      </c>
      <c r="G287" s="1" t="s">
        <v>796</v>
      </c>
      <c r="H287" s="1" t="s">
        <v>74</v>
      </c>
      <c r="I287" s="1" t="s">
        <v>64</v>
      </c>
      <c r="J287" s="1" t="s">
        <v>29</v>
      </c>
      <c r="K287" s="1" t="s">
        <v>1477</v>
      </c>
      <c r="L287">
        <v>3</v>
      </c>
      <c r="M287">
        <v>0</v>
      </c>
      <c r="N287">
        <v>0</v>
      </c>
      <c r="O287">
        <v>5</v>
      </c>
      <c r="P287">
        <v>3</v>
      </c>
      <c r="Q287">
        <v>0</v>
      </c>
      <c r="R287">
        <v>0</v>
      </c>
      <c r="S287">
        <v>0</v>
      </c>
      <c r="T287">
        <v>0</v>
      </c>
      <c r="U287" s="1" t="s">
        <v>1478</v>
      </c>
      <c r="V287" s="1" t="s">
        <v>1479</v>
      </c>
      <c r="W287" s="1">
        <f t="shared" si="4"/>
        <v>57.97</v>
      </c>
      <c r="X287" s="1" t="s">
        <v>677</v>
      </c>
      <c r="Y287">
        <v>1</v>
      </c>
      <c r="Z287">
        <v>0</v>
      </c>
      <c r="AA287">
        <v>17</v>
      </c>
    </row>
    <row r="288" spans="1:27" x14ac:dyDescent="0.3">
      <c r="A288" s="1" t="s">
        <v>1480</v>
      </c>
      <c r="B288">
        <v>287</v>
      </c>
      <c r="C288" s="1" t="s">
        <v>1481</v>
      </c>
      <c r="D288" s="1" t="s">
        <v>1482</v>
      </c>
      <c r="E288" s="1" t="s">
        <v>41</v>
      </c>
      <c r="F288" s="1" t="s">
        <v>1483</v>
      </c>
      <c r="G288" s="1" t="s">
        <v>803</v>
      </c>
      <c r="H288" s="1" t="s">
        <v>29</v>
      </c>
      <c r="I288" s="1" t="s">
        <v>32</v>
      </c>
      <c r="J288" s="1" t="s">
        <v>29</v>
      </c>
      <c r="K288" s="1" t="s">
        <v>683</v>
      </c>
      <c r="L288">
        <v>3</v>
      </c>
      <c r="M288">
        <v>0</v>
      </c>
      <c r="N288">
        <v>0</v>
      </c>
      <c r="O288">
        <v>6</v>
      </c>
      <c r="P288">
        <v>3</v>
      </c>
      <c r="Q288">
        <v>0</v>
      </c>
      <c r="R288">
        <v>0</v>
      </c>
      <c r="S288">
        <v>1</v>
      </c>
      <c r="T288">
        <v>1</v>
      </c>
      <c r="U288" s="1" t="s">
        <v>684</v>
      </c>
      <c r="V288" s="1" t="s">
        <v>169</v>
      </c>
      <c r="W288" s="1">
        <f t="shared" si="4"/>
        <v>270.07</v>
      </c>
      <c r="X288" s="1" t="s">
        <v>685</v>
      </c>
      <c r="Y288">
        <v>1</v>
      </c>
      <c r="Z288">
        <v>1</v>
      </c>
      <c r="AA288">
        <v>18</v>
      </c>
    </row>
    <row r="289" spans="1:27" x14ac:dyDescent="0.3">
      <c r="A289" s="1" t="s">
        <v>1484</v>
      </c>
      <c r="B289">
        <v>288</v>
      </c>
      <c r="C289" s="1" t="s">
        <v>1485</v>
      </c>
      <c r="D289" s="1" t="s">
        <v>1486</v>
      </c>
      <c r="E289" s="1" t="s">
        <v>32</v>
      </c>
      <c r="F289" s="1" t="s">
        <v>1404</v>
      </c>
      <c r="G289" s="1" t="s">
        <v>808</v>
      </c>
      <c r="H289" s="1" t="s">
        <v>32</v>
      </c>
      <c r="I289" s="1" t="s">
        <v>32</v>
      </c>
      <c r="J289" s="1" t="s">
        <v>75</v>
      </c>
      <c r="K289" s="1" t="s">
        <v>690</v>
      </c>
      <c r="L289">
        <v>3</v>
      </c>
      <c r="M289">
        <v>2</v>
      </c>
      <c r="N289">
        <v>1</v>
      </c>
      <c r="O289">
        <v>1</v>
      </c>
      <c r="P289">
        <v>6</v>
      </c>
      <c r="Q289">
        <v>0</v>
      </c>
      <c r="R289">
        <v>0</v>
      </c>
      <c r="S289">
        <v>1</v>
      </c>
      <c r="T289">
        <v>1</v>
      </c>
      <c r="U289" s="1" t="s">
        <v>690</v>
      </c>
      <c r="V289" s="1" t="s">
        <v>127</v>
      </c>
      <c r="W289" s="1">
        <f t="shared" si="4"/>
        <v>47.46</v>
      </c>
      <c r="X289" s="1" t="s">
        <v>691</v>
      </c>
      <c r="Y289">
        <v>1</v>
      </c>
      <c r="Z289">
        <v>1</v>
      </c>
      <c r="AA289">
        <v>19</v>
      </c>
    </row>
    <row r="290" spans="1:27" x14ac:dyDescent="0.3">
      <c r="A290" s="1" t="s">
        <v>1487</v>
      </c>
      <c r="B290">
        <v>289</v>
      </c>
      <c r="C290" s="1" t="s">
        <v>1488</v>
      </c>
      <c r="D290" s="1" t="s">
        <v>1489</v>
      </c>
      <c r="E290" s="1" t="s">
        <v>29</v>
      </c>
      <c r="F290" s="1" t="s">
        <v>695</v>
      </c>
      <c r="G290" s="1" t="s">
        <v>814</v>
      </c>
      <c r="H290" s="1" t="s">
        <v>41</v>
      </c>
      <c r="I290" s="1" t="s">
        <v>32</v>
      </c>
      <c r="J290" s="1" t="s">
        <v>41</v>
      </c>
      <c r="K290" s="1" t="s">
        <v>696</v>
      </c>
      <c r="L290">
        <v>3</v>
      </c>
      <c r="M290">
        <v>0</v>
      </c>
      <c r="N290">
        <v>0</v>
      </c>
      <c r="O290">
        <v>2</v>
      </c>
      <c r="P290">
        <v>3</v>
      </c>
      <c r="Q290">
        <v>0</v>
      </c>
      <c r="R290">
        <v>0</v>
      </c>
      <c r="S290">
        <v>1</v>
      </c>
      <c r="T290">
        <v>1</v>
      </c>
      <c r="U290" s="1" t="s">
        <v>697</v>
      </c>
      <c r="V290" s="1" t="s">
        <v>288</v>
      </c>
      <c r="W290" s="1">
        <f t="shared" si="4"/>
        <v>301.70999999999998</v>
      </c>
      <c r="X290" s="1" t="s">
        <v>698</v>
      </c>
      <c r="Y290">
        <v>1</v>
      </c>
      <c r="Z290">
        <v>1</v>
      </c>
      <c r="AA290">
        <v>20</v>
      </c>
    </row>
    <row r="291" spans="1:27" x14ac:dyDescent="0.3">
      <c r="A291" s="1" t="s">
        <v>1490</v>
      </c>
      <c r="B291">
        <v>290</v>
      </c>
      <c r="C291" s="1" t="s">
        <v>1491</v>
      </c>
      <c r="D291" s="1" t="s">
        <v>1492</v>
      </c>
      <c r="E291" s="1" t="s">
        <v>39</v>
      </c>
      <c r="F291" s="1" t="s">
        <v>1492</v>
      </c>
      <c r="G291" s="1" t="s">
        <v>820</v>
      </c>
      <c r="H291" s="1" t="s">
        <v>48</v>
      </c>
      <c r="I291" s="1" t="s">
        <v>32</v>
      </c>
      <c r="J291" s="1" t="s">
        <v>32</v>
      </c>
      <c r="K291" s="1" t="s">
        <v>1493</v>
      </c>
      <c r="L291">
        <v>1</v>
      </c>
      <c r="M291">
        <v>0</v>
      </c>
      <c r="N291">
        <v>0</v>
      </c>
      <c r="O291">
        <v>3</v>
      </c>
      <c r="P291">
        <v>1</v>
      </c>
      <c r="Q291">
        <v>0</v>
      </c>
      <c r="R291">
        <v>0</v>
      </c>
      <c r="S291">
        <v>1</v>
      </c>
      <c r="T291">
        <v>1</v>
      </c>
      <c r="U291" s="1" t="s">
        <v>1494</v>
      </c>
      <c r="V291" s="1" t="s">
        <v>144</v>
      </c>
      <c r="W291" s="1">
        <f t="shared" si="4"/>
        <v>202.26999999999899</v>
      </c>
      <c r="X291" s="1" t="s">
        <v>707</v>
      </c>
      <c r="Y291">
        <v>1</v>
      </c>
      <c r="Z291">
        <v>1</v>
      </c>
      <c r="AA291">
        <v>21</v>
      </c>
    </row>
    <row r="292" spans="1:27" x14ac:dyDescent="0.3">
      <c r="A292" s="1" t="s">
        <v>1495</v>
      </c>
      <c r="B292">
        <v>291</v>
      </c>
      <c r="C292" s="1" t="s">
        <v>1496</v>
      </c>
      <c r="D292" s="1" t="s">
        <v>1497</v>
      </c>
      <c r="E292" s="1" t="s">
        <v>41</v>
      </c>
      <c r="F292" s="1" t="s">
        <v>1498</v>
      </c>
      <c r="G292" s="1" t="s">
        <v>116</v>
      </c>
      <c r="H292" s="1" t="s">
        <v>55</v>
      </c>
      <c r="I292" s="1" t="s">
        <v>32</v>
      </c>
      <c r="J292" s="1" t="s">
        <v>74</v>
      </c>
      <c r="K292" s="1" t="s">
        <v>1401</v>
      </c>
      <c r="L292">
        <v>1</v>
      </c>
      <c r="M292">
        <v>0</v>
      </c>
      <c r="N292">
        <v>0</v>
      </c>
      <c r="O292">
        <v>4</v>
      </c>
      <c r="P292">
        <v>1</v>
      </c>
      <c r="Q292">
        <v>0</v>
      </c>
      <c r="R292">
        <v>0</v>
      </c>
      <c r="S292">
        <v>1</v>
      </c>
      <c r="T292">
        <v>1</v>
      </c>
      <c r="U292" s="1" t="s">
        <v>1401</v>
      </c>
      <c r="V292" s="1" t="s">
        <v>152</v>
      </c>
      <c r="W292" s="1">
        <f t="shared" si="4"/>
        <v>63.28</v>
      </c>
      <c r="X292" s="1" t="s">
        <v>714</v>
      </c>
      <c r="Y292">
        <v>1</v>
      </c>
      <c r="Z292">
        <v>1</v>
      </c>
      <c r="AA292">
        <v>22</v>
      </c>
    </row>
    <row r="293" spans="1:27" x14ac:dyDescent="0.3">
      <c r="A293" s="1" t="s">
        <v>1499</v>
      </c>
      <c r="B293">
        <v>292</v>
      </c>
      <c r="C293" s="1" t="s">
        <v>1500</v>
      </c>
      <c r="D293" s="1" t="s">
        <v>833</v>
      </c>
      <c r="E293" s="1" t="s">
        <v>32</v>
      </c>
      <c r="F293" s="1" t="s">
        <v>833</v>
      </c>
      <c r="G293" s="1" t="s">
        <v>833</v>
      </c>
      <c r="H293" s="1" t="s">
        <v>63</v>
      </c>
      <c r="I293" s="1" t="s">
        <v>32</v>
      </c>
      <c r="J293" s="1" t="s">
        <v>29</v>
      </c>
      <c r="K293" s="1" t="s">
        <v>1501</v>
      </c>
      <c r="L293">
        <v>1</v>
      </c>
      <c r="M293">
        <v>1</v>
      </c>
      <c r="N293">
        <v>0</v>
      </c>
      <c r="O293">
        <v>5</v>
      </c>
      <c r="P293">
        <v>2</v>
      </c>
      <c r="Q293">
        <v>0</v>
      </c>
      <c r="R293">
        <v>0</v>
      </c>
      <c r="S293">
        <v>1</v>
      </c>
      <c r="T293">
        <v>1</v>
      </c>
      <c r="U293" s="1" t="s">
        <v>1502</v>
      </c>
      <c r="V293" s="1" t="s">
        <v>304</v>
      </c>
      <c r="W293" s="1">
        <f t="shared" si="4"/>
        <v>64.41</v>
      </c>
      <c r="X293" s="1" t="s">
        <v>721</v>
      </c>
      <c r="Y293">
        <v>1</v>
      </c>
      <c r="Z293">
        <v>1</v>
      </c>
      <c r="AA293">
        <v>23</v>
      </c>
    </row>
    <row r="294" spans="1:27" x14ac:dyDescent="0.3">
      <c r="A294" s="1" t="s">
        <v>1503</v>
      </c>
      <c r="B294">
        <v>293</v>
      </c>
      <c r="C294" s="1" t="s">
        <v>1504</v>
      </c>
      <c r="D294" s="1" t="s">
        <v>1505</v>
      </c>
      <c r="E294" s="1" t="s">
        <v>29</v>
      </c>
      <c r="F294" s="1" t="s">
        <v>1506</v>
      </c>
      <c r="G294" s="1" t="s">
        <v>840</v>
      </c>
      <c r="H294" s="1" t="s">
        <v>74</v>
      </c>
      <c r="I294" s="1" t="s">
        <v>32</v>
      </c>
      <c r="J294" s="1" t="s">
        <v>75</v>
      </c>
      <c r="K294" s="1" t="s">
        <v>1507</v>
      </c>
      <c r="L294">
        <v>2</v>
      </c>
      <c r="M294">
        <v>0</v>
      </c>
      <c r="N294">
        <v>0</v>
      </c>
      <c r="O294">
        <v>6</v>
      </c>
      <c r="P294">
        <v>2</v>
      </c>
      <c r="Q294">
        <v>0</v>
      </c>
      <c r="R294">
        <v>0</v>
      </c>
      <c r="S294">
        <v>1</v>
      </c>
      <c r="T294">
        <v>1</v>
      </c>
      <c r="U294" s="1" t="s">
        <v>1508</v>
      </c>
      <c r="V294" s="1" t="s">
        <v>1190</v>
      </c>
      <c r="W294" s="1">
        <f t="shared" si="4"/>
        <v>267.81</v>
      </c>
      <c r="X294" s="1" t="s">
        <v>727</v>
      </c>
      <c r="Y294">
        <v>1</v>
      </c>
      <c r="Z294">
        <v>1</v>
      </c>
      <c r="AA294">
        <v>24</v>
      </c>
    </row>
    <row r="295" spans="1:27" x14ac:dyDescent="0.3">
      <c r="A295" s="1" t="s">
        <v>1509</v>
      </c>
      <c r="B295">
        <v>294</v>
      </c>
      <c r="C295" s="1" t="s">
        <v>1510</v>
      </c>
      <c r="D295" s="1" t="s">
        <v>844</v>
      </c>
      <c r="E295" s="1" t="s">
        <v>39</v>
      </c>
      <c r="F295" s="1" t="s">
        <v>844</v>
      </c>
      <c r="G295" s="1" t="s">
        <v>844</v>
      </c>
      <c r="H295" s="1" t="s">
        <v>29</v>
      </c>
      <c r="I295" s="1" t="s">
        <v>32</v>
      </c>
      <c r="J295" s="1" t="s">
        <v>41</v>
      </c>
      <c r="K295" s="1" t="s">
        <v>731</v>
      </c>
      <c r="L295">
        <v>2</v>
      </c>
      <c r="M295">
        <v>2</v>
      </c>
      <c r="N295">
        <v>0</v>
      </c>
      <c r="O295">
        <v>1</v>
      </c>
      <c r="P295">
        <v>4</v>
      </c>
      <c r="Q295">
        <v>0</v>
      </c>
      <c r="R295">
        <v>0</v>
      </c>
      <c r="S295">
        <v>1</v>
      </c>
      <c r="T295">
        <v>1</v>
      </c>
      <c r="U295" s="1" t="s">
        <v>731</v>
      </c>
      <c r="V295" s="1" t="s">
        <v>177</v>
      </c>
      <c r="W295" s="1">
        <f t="shared" si="4"/>
        <v>61.02</v>
      </c>
      <c r="X295" s="1" t="s">
        <v>732</v>
      </c>
      <c r="Y295">
        <v>1</v>
      </c>
      <c r="Z295">
        <v>1</v>
      </c>
      <c r="AA295">
        <v>25</v>
      </c>
    </row>
    <row r="296" spans="1:27" x14ac:dyDescent="0.3">
      <c r="A296" s="1" t="s">
        <v>1511</v>
      </c>
      <c r="B296">
        <v>295</v>
      </c>
      <c r="C296" s="1" t="s">
        <v>1512</v>
      </c>
      <c r="D296" s="1" t="s">
        <v>1513</v>
      </c>
      <c r="E296" s="1" t="s">
        <v>41</v>
      </c>
      <c r="F296" s="1" t="s">
        <v>1514</v>
      </c>
      <c r="G296" s="1" t="s">
        <v>851</v>
      </c>
      <c r="H296" s="1" t="s">
        <v>32</v>
      </c>
      <c r="I296" s="1" t="s">
        <v>32</v>
      </c>
      <c r="J296" s="1" t="s">
        <v>32</v>
      </c>
      <c r="K296" s="1" t="s">
        <v>736</v>
      </c>
      <c r="L296">
        <v>2</v>
      </c>
      <c r="M296">
        <v>0</v>
      </c>
      <c r="N296">
        <v>0</v>
      </c>
      <c r="O296">
        <v>2</v>
      </c>
      <c r="P296">
        <v>2</v>
      </c>
      <c r="Q296">
        <v>0</v>
      </c>
      <c r="R296">
        <v>0</v>
      </c>
      <c r="S296">
        <v>1</v>
      </c>
      <c r="T296">
        <v>1</v>
      </c>
      <c r="U296" s="1" t="s">
        <v>737</v>
      </c>
      <c r="V296" s="1" t="s">
        <v>87</v>
      </c>
      <c r="W296" s="1">
        <f t="shared" si="4"/>
        <v>274.58999999999997</v>
      </c>
      <c r="X296" s="1" t="s">
        <v>738</v>
      </c>
      <c r="Y296">
        <v>1</v>
      </c>
      <c r="Z296">
        <v>1</v>
      </c>
      <c r="AA296">
        <v>26</v>
      </c>
    </row>
    <row r="297" spans="1:27" x14ac:dyDescent="0.3">
      <c r="A297" s="1" t="s">
        <v>1515</v>
      </c>
      <c r="B297">
        <v>296</v>
      </c>
      <c r="C297" s="1" t="s">
        <v>1516</v>
      </c>
      <c r="D297" s="1" t="s">
        <v>858</v>
      </c>
      <c r="E297" s="1" t="s">
        <v>32</v>
      </c>
      <c r="F297" s="1" t="s">
        <v>742</v>
      </c>
      <c r="G297" s="1" t="s">
        <v>858</v>
      </c>
      <c r="H297" s="1" t="s">
        <v>41</v>
      </c>
      <c r="I297" s="1" t="s">
        <v>32</v>
      </c>
      <c r="J297" s="1" t="s">
        <v>74</v>
      </c>
      <c r="K297" s="1" t="s">
        <v>809</v>
      </c>
      <c r="L297">
        <v>3</v>
      </c>
      <c r="M297">
        <v>1</v>
      </c>
      <c r="N297">
        <v>0</v>
      </c>
      <c r="O297">
        <v>3</v>
      </c>
      <c r="P297">
        <v>4</v>
      </c>
      <c r="Q297">
        <v>0</v>
      </c>
      <c r="R297">
        <v>0</v>
      </c>
      <c r="S297">
        <v>1</v>
      </c>
      <c r="T297">
        <v>1</v>
      </c>
      <c r="U297" s="1" t="s">
        <v>810</v>
      </c>
      <c r="V297" s="1" t="s">
        <v>96</v>
      </c>
      <c r="W297" s="1">
        <f t="shared" si="4"/>
        <v>229.39</v>
      </c>
      <c r="X297" s="1" t="s">
        <v>663</v>
      </c>
      <c r="Y297">
        <v>1</v>
      </c>
      <c r="Z297">
        <v>1</v>
      </c>
      <c r="AA297">
        <v>27</v>
      </c>
    </row>
    <row r="298" spans="1:27" x14ac:dyDescent="0.3">
      <c r="A298" s="1" t="s">
        <v>1517</v>
      </c>
      <c r="B298">
        <v>297</v>
      </c>
      <c r="C298" s="1" t="s">
        <v>1518</v>
      </c>
      <c r="D298" s="1" t="s">
        <v>1519</v>
      </c>
      <c r="E298" s="1" t="s">
        <v>29</v>
      </c>
      <c r="F298" s="1" t="s">
        <v>1519</v>
      </c>
      <c r="G298" s="1" t="s">
        <v>862</v>
      </c>
      <c r="H298" s="1" t="s">
        <v>48</v>
      </c>
      <c r="I298" s="1" t="s">
        <v>32</v>
      </c>
      <c r="J298" s="1" t="s">
        <v>29</v>
      </c>
      <c r="K298" s="1" t="s">
        <v>748</v>
      </c>
      <c r="L298">
        <v>3</v>
      </c>
      <c r="M298">
        <v>0</v>
      </c>
      <c r="N298">
        <v>0</v>
      </c>
      <c r="O298">
        <v>4</v>
      </c>
      <c r="P298">
        <v>3</v>
      </c>
      <c r="Q298">
        <v>0</v>
      </c>
      <c r="R298">
        <v>0</v>
      </c>
      <c r="S298">
        <v>1</v>
      </c>
      <c r="T298">
        <v>1</v>
      </c>
      <c r="U298" s="1" t="s">
        <v>748</v>
      </c>
      <c r="V298" s="1" t="s">
        <v>104</v>
      </c>
      <c r="W298" s="1">
        <f t="shared" si="4"/>
        <v>76.84</v>
      </c>
      <c r="X298" s="1" t="s">
        <v>749</v>
      </c>
      <c r="Y298">
        <v>1</v>
      </c>
      <c r="Z298">
        <v>1</v>
      </c>
      <c r="AA298">
        <v>28</v>
      </c>
    </row>
    <row r="299" spans="1:27" x14ac:dyDescent="0.3">
      <c r="A299" s="1" t="s">
        <v>1520</v>
      </c>
      <c r="B299">
        <v>298</v>
      </c>
      <c r="C299" s="1" t="s">
        <v>1521</v>
      </c>
      <c r="D299" s="1" t="s">
        <v>1522</v>
      </c>
      <c r="E299" s="1" t="s">
        <v>39</v>
      </c>
      <c r="F299" s="1" t="s">
        <v>1523</v>
      </c>
      <c r="G299" s="1" t="s">
        <v>868</v>
      </c>
      <c r="H299" s="1" t="s">
        <v>55</v>
      </c>
      <c r="I299" s="1" t="s">
        <v>32</v>
      </c>
      <c r="J299" s="1" t="s">
        <v>75</v>
      </c>
      <c r="K299" s="1" t="s">
        <v>1428</v>
      </c>
      <c r="L299">
        <v>3</v>
      </c>
      <c r="M299">
        <v>0</v>
      </c>
      <c r="N299">
        <v>0</v>
      </c>
      <c r="O299">
        <v>5</v>
      </c>
      <c r="P299">
        <v>3</v>
      </c>
      <c r="Q299">
        <v>0</v>
      </c>
      <c r="R299">
        <v>0</v>
      </c>
      <c r="S299">
        <v>1</v>
      </c>
      <c r="T299">
        <v>1</v>
      </c>
      <c r="U299" s="1" t="s">
        <v>1429</v>
      </c>
      <c r="V299" s="1" t="s">
        <v>111</v>
      </c>
      <c r="W299" s="1">
        <f t="shared" si="4"/>
        <v>80.229999999999905</v>
      </c>
      <c r="X299" s="1" t="s">
        <v>677</v>
      </c>
      <c r="Y299">
        <v>1</v>
      </c>
      <c r="Z299">
        <v>1</v>
      </c>
      <c r="AA299">
        <v>29</v>
      </c>
    </row>
    <row r="300" spans="1:27" x14ac:dyDescent="0.3">
      <c r="A300" s="1" t="s">
        <v>1524</v>
      </c>
      <c r="B300">
        <v>299</v>
      </c>
      <c r="C300" s="1" t="s">
        <v>1525</v>
      </c>
      <c r="D300" s="1" t="s">
        <v>1526</v>
      </c>
      <c r="E300" s="1" t="s">
        <v>41</v>
      </c>
      <c r="F300" s="1" t="s">
        <v>1451</v>
      </c>
      <c r="G300" s="1" t="s">
        <v>873</v>
      </c>
      <c r="H300" s="1" t="s">
        <v>63</v>
      </c>
      <c r="I300" s="1" t="s">
        <v>32</v>
      </c>
      <c r="J300" s="1" t="s">
        <v>41</v>
      </c>
      <c r="K300" s="1" t="s">
        <v>828</v>
      </c>
      <c r="L300">
        <v>3</v>
      </c>
      <c r="M300">
        <v>0</v>
      </c>
      <c r="N300">
        <v>0</v>
      </c>
      <c r="O300">
        <v>6</v>
      </c>
      <c r="P300">
        <v>3</v>
      </c>
      <c r="Q300">
        <v>0</v>
      </c>
      <c r="R300">
        <v>0</v>
      </c>
      <c r="S300">
        <v>1</v>
      </c>
      <c r="T300">
        <v>1</v>
      </c>
      <c r="U300" s="1" t="s">
        <v>829</v>
      </c>
      <c r="V300" s="1" t="s">
        <v>345</v>
      </c>
      <c r="W300" s="1">
        <f t="shared" si="4"/>
        <v>265.32</v>
      </c>
      <c r="X300" s="1" t="s">
        <v>685</v>
      </c>
      <c r="Y300">
        <v>1</v>
      </c>
      <c r="Z300">
        <v>1</v>
      </c>
      <c r="AA300">
        <v>30</v>
      </c>
    </row>
    <row r="301" spans="1:27" x14ac:dyDescent="0.3">
      <c r="A301" s="1" t="s">
        <v>1527</v>
      </c>
      <c r="B301">
        <v>300</v>
      </c>
      <c r="C301" s="1" t="s">
        <v>1528</v>
      </c>
      <c r="D301" s="1" t="s">
        <v>1529</v>
      </c>
      <c r="E301" s="1" t="s">
        <v>32</v>
      </c>
      <c r="F301" s="1" t="s">
        <v>1530</v>
      </c>
      <c r="G301" s="1" t="s">
        <v>880</v>
      </c>
      <c r="H301" s="1" t="s">
        <v>74</v>
      </c>
      <c r="I301" s="1" t="s">
        <v>32</v>
      </c>
      <c r="J301" s="1" t="s">
        <v>32</v>
      </c>
      <c r="K301" s="1" t="s">
        <v>1531</v>
      </c>
      <c r="L301">
        <v>1</v>
      </c>
      <c r="M301">
        <v>2</v>
      </c>
      <c r="N301">
        <v>1</v>
      </c>
      <c r="O301">
        <v>1</v>
      </c>
      <c r="P301">
        <v>4</v>
      </c>
      <c r="Q301">
        <v>0</v>
      </c>
      <c r="R301">
        <v>0</v>
      </c>
      <c r="S301">
        <v>1</v>
      </c>
      <c r="T301">
        <v>1</v>
      </c>
      <c r="U301" s="1" t="s">
        <v>1531</v>
      </c>
      <c r="V301" s="1" t="s">
        <v>353</v>
      </c>
      <c r="W301" s="1">
        <f t="shared" si="4"/>
        <v>42.71</v>
      </c>
      <c r="X301" s="1" t="s">
        <v>765</v>
      </c>
      <c r="Y301">
        <v>1</v>
      </c>
      <c r="Z301">
        <v>1</v>
      </c>
      <c r="AA301">
        <v>31</v>
      </c>
    </row>
    <row r="302" spans="1:27" x14ac:dyDescent="0.3">
      <c r="A302" s="1" t="s">
        <v>1532</v>
      </c>
      <c r="B302">
        <v>301</v>
      </c>
      <c r="C302" s="1" t="s">
        <v>1533</v>
      </c>
      <c r="D302" s="1" t="s">
        <v>1534</v>
      </c>
      <c r="E302" s="1" t="s">
        <v>29</v>
      </c>
      <c r="F302" s="1" t="s">
        <v>30</v>
      </c>
      <c r="G302" s="1" t="s">
        <v>887</v>
      </c>
      <c r="H302" s="1" t="s">
        <v>29</v>
      </c>
      <c r="I302" s="1" t="s">
        <v>33</v>
      </c>
      <c r="J302" s="1" t="s">
        <v>33</v>
      </c>
      <c r="K302" s="1" t="s">
        <v>34</v>
      </c>
      <c r="L302">
        <v>1</v>
      </c>
      <c r="M302">
        <v>0</v>
      </c>
      <c r="N302">
        <v>0</v>
      </c>
      <c r="O302">
        <v>2</v>
      </c>
      <c r="P302">
        <v>1</v>
      </c>
      <c r="Q302">
        <v>1</v>
      </c>
      <c r="R302">
        <v>0</v>
      </c>
      <c r="S302">
        <v>0</v>
      </c>
      <c r="T302">
        <v>0</v>
      </c>
      <c r="U302" s="1" t="s">
        <v>1535</v>
      </c>
      <c r="V302" s="1">
        <v>0</v>
      </c>
      <c r="W302" s="1">
        <f t="shared" si="4"/>
        <v>0</v>
      </c>
      <c r="X302" s="1" t="s">
        <v>1535</v>
      </c>
      <c r="Y302">
        <v>1</v>
      </c>
      <c r="Z302">
        <v>0</v>
      </c>
      <c r="AA302">
        <v>32</v>
      </c>
    </row>
    <row r="303" spans="1:27" x14ac:dyDescent="0.3">
      <c r="A303" s="1" t="s">
        <v>1536</v>
      </c>
      <c r="B303">
        <v>302</v>
      </c>
      <c r="C303" s="1" t="s">
        <v>1537</v>
      </c>
      <c r="D303" s="1" t="s">
        <v>1538</v>
      </c>
      <c r="E303" s="1" t="s">
        <v>39</v>
      </c>
      <c r="F303" s="1" t="s">
        <v>38</v>
      </c>
      <c r="G303" s="1" t="s">
        <v>891</v>
      </c>
      <c r="H303" s="1" t="s">
        <v>32</v>
      </c>
      <c r="I303" s="1" t="s">
        <v>33</v>
      </c>
      <c r="J303" s="1" t="s">
        <v>33</v>
      </c>
      <c r="K303" s="1" t="s">
        <v>34</v>
      </c>
      <c r="L303">
        <v>1</v>
      </c>
      <c r="M303">
        <v>0</v>
      </c>
      <c r="N303">
        <v>0</v>
      </c>
      <c r="O303">
        <v>3</v>
      </c>
      <c r="P303">
        <v>1</v>
      </c>
      <c r="Q303">
        <v>1</v>
      </c>
      <c r="R303">
        <v>0</v>
      </c>
      <c r="S303">
        <v>0</v>
      </c>
      <c r="T303">
        <v>0</v>
      </c>
      <c r="U303" s="1">
        <v>678</v>
      </c>
      <c r="V303" s="1">
        <v>0</v>
      </c>
      <c r="W303" s="1">
        <f t="shared" si="4"/>
        <v>0</v>
      </c>
      <c r="X303" s="1">
        <v>678</v>
      </c>
      <c r="Y303">
        <v>1</v>
      </c>
      <c r="Z303">
        <v>0</v>
      </c>
      <c r="AA303">
        <v>33</v>
      </c>
    </row>
    <row r="304" spans="1:27" x14ac:dyDescent="0.3">
      <c r="A304" s="1" t="s">
        <v>1539</v>
      </c>
      <c r="B304">
        <v>303</v>
      </c>
      <c r="C304" s="1" t="s">
        <v>1540</v>
      </c>
      <c r="D304" s="1" t="s">
        <v>46</v>
      </c>
      <c r="E304" s="1" t="s">
        <v>41</v>
      </c>
      <c r="F304" s="1" t="s">
        <v>46</v>
      </c>
      <c r="G304" s="1" t="s">
        <v>894</v>
      </c>
      <c r="H304" s="1" t="s">
        <v>41</v>
      </c>
      <c r="I304" s="1" t="s">
        <v>33</v>
      </c>
      <c r="J304" s="1" t="s">
        <v>33</v>
      </c>
      <c r="K304" s="1" t="s">
        <v>34</v>
      </c>
      <c r="L304">
        <v>2</v>
      </c>
      <c r="M304">
        <v>0</v>
      </c>
      <c r="N304">
        <v>0</v>
      </c>
      <c r="O304">
        <v>4</v>
      </c>
      <c r="P304">
        <v>2</v>
      </c>
      <c r="Q304">
        <v>1</v>
      </c>
      <c r="R304">
        <v>0</v>
      </c>
      <c r="S304">
        <v>0</v>
      </c>
      <c r="T304">
        <v>0</v>
      </c>
      <c r="U304" s="1" t="s">
        <v>918</v>
      </c>
      <c r="V304" s="1">
        <v>0</v>
      </c>
      <c r="W304" s="1">
        <f t="shared" si="4"/>
        <v>0</v>
      </c>
      <c r="X304" s="1" t="s">
        <v>918</v>
      </c>
      <c r="Y304">
        <v>1</v>
      </c>
      <c r="Z304">
        <v>0</v>
      </c>
      <c r="AA304">
        <v>34</v>
      </c>
    </row>
    <row r="305" spans="1:27" x14ac:dyDescent="0.3">
      <c r="A305" s="1" t="s">
        <v>1541</v>
      </c>
      <c r="B305">
        <v>304</v>
      </c>
      <c r="C305" s="1" t="s">
        <v>1542</v>
      </c>
      <c r="D305" s="1" t="s">
        <v>53</v>
      </c>
      <c r="E305" s="1" t="s">
        <v>32</v>
      </c>
      <c r="F305" s="1" t="s">
        <v>53</v>
      </c>
      <c r="G305" s="1" t="s">
        <v>52</v>
      </c>
      <c r="H305" s="1" t="s">
        <v>48</v>
      </c>
      <c r="I305" s="1" t="s">
        <v>56</v>
      </c>
      <c r="J305" s="1" t="s">
        <v>33</v>
      </c>
      <c r="K305" s="1" t="s">
        <v>34</v>
      </c>
      <c r="L305">
        <v>2</v>
      </c>
      <c r="M305">
        <v>1</v>
      </c>
      <c r="N305">
        <v>0</v>
      </c>
      <c r="O305">
        <v>5</v>
      </c>
      <c r="P305">
        <v>3</v>
      </c>
      <c r="Q305">
        <v>0</v>
      </c>
      <c r="R305">
        <v>1</v>
      </c>
      <c r="S305">
        <v>0</v>
      </c>
      <c r="T305">
        <v>0</v>
      </c>
      <c r="U305" s="1">
        <v>1243</v>
      </c>
      <c r="V305" s="1">
        <v>0</v>
      </c>
      <c r="W305" s="1">
        <f t="shared" si="4"/>
        <v>0</v>
      </c>
      <c r="X305" s="1">
        <v>1243</v>
      </c>
      <c r="Y305">
        <v>1</v>
      </c>
      <c r="Z305">
        <v>0</v>
      </c>
      <c r="AA305">
        <v>35</v>
      </c>
    </row>
    <row r="306" spans="1:27" x14ac:dyDescent="0.3">
      <c r="A306" s="1" t="s">
        <v>1543</v>
      </c>
      <c r="B306">
        <v>305</v>
      </c>
      <c r="C306" s="1" t="s">
        <v>1544</v>
      </c>
      <c r="D306" s="1" t="s">
        <v>61</v>
      </c>
      <c r="E306" s="1" t="s">
        <v>29</v>
      </c>
      <c r="F306" s="1" t="s">
        <v>61</v>
      </c>
      <c r="G306" s="1" t="s">
        <v>61</v>
      </c>
      <c r="H306" s="1" t="s">
        <v>55</v>
      </c>
      <c r="I306" s="1" t="s">
        <v>64</v>
      </c>
      <c r="J306" s="1" t="s">
        <v>29</v>
      </c>
      <c r="K306" s="1" t="s">
        <v>1545</v>
      </c>
      <c r="L306">
        <v>2</v>
      </c>
      <c r="M306">
        <v>0</v>
      </c>
      <c r="N306">
        <v>0</v>
      </c>
      <c r="O306">
        <v>6</v>
      </c>
      <c r="P306">
        <v>2</v>
      </c>
      <c r="Q306">
        <v>0</v>
      </c>
      <c r="R306">
        <v>0</v>
      </c>
      <c r="S306">
        <v>0</v>
      </c>
      <c r="T306">
        <v>0</v>
      </c>
      <c r="U306" s="1" t="s">
        <v>1546</v>
      </c>
      <c r="V306" s="1" t="s">
        <v>67</v>
      </c>
      <c r="W306" s="1">
        <f t="shared" si="4"/>
        <v>22.6</v>
      </c>
      <c r="X306" s="1" t="s">
        <v>1547</v>
      </c>
      <c r="Y306">
        <v>1</v>
      </c>
      <c r="Z306">
        <v>0</v>
      </c>
      <c r="AA306">
        <v>36</v>
      </c>
    </row>
    <row r="307" spans="1:27" x14ac:dyDescent="0.3">
      <c r="A307" s="1" t="s">
        <v>1548</v>
      </c>
      <c r="B307">
        <v>306</v>
      </c>
      <c r="C307" s="1" t="s">
        <v>1549</v>
      </c>
      <c r="D307" s="1" t="s">
        <v>72</v>
      </c>
      <c r="E307" s="1" t="s">
        <v>39</v>
      </c>
      <c r="F307" s="1" t="s">
        <v>72</v>
      </c>
      <c r="G307" s="1" t="s">
        <v>71</v>
      </c>
      <c r="H307" s="1" t="s">
        <v>63</v>
      </c>
      <c r="I307" s="1" t="s">
        <v>64</v>
      </c>
      <c r="J307" s="1" t="s">
        <v>75</v>
      </c>
      <c r="K307" s="1" t="s">
        <v>1550</v>
      </c>
      <c r="L307">
        <v>3</v>
      </c>
      <c r="M307">
        <v>2</v>
      </c>
      <c r="N307">
        <v>0</v>
      </c>
      <c r="O307">
        <v>1</v>
      </c>
      <c r="P307">
        <v>5</v>
      </c>
      <c r="Q307">
        <v>0</v>
      </c>
      <c r="R307">
        <v>0</v>
      </c>
      <c r="S307">
        <v>0</v>
      </c>
      <c r="T307">
        <v>0</v>
      </c>
      <c r="U307" s="1" t="s">
        <v>1551</v>
      </c>
      <c r="V307" s="1" t="s">
        <v>177</v>
      </c>
      <c r="W307" s="1">
        <f t="shared" si="4"/>
        <v>61.02</v>
      </c>
      <c r="X307" s="1" t="s">
        <v>1552</v>
      </c>
      <c r="Y307">
        <v>1</v>
      </c>
      <c r="Z307">
        <v>0</v>
      </c>
      <c r="AA307">
        <v>37</v>
      </c>
    </row>
    <row r="308" spans="1:27" x14ac:dyDescent="0.3">
      <c r="A308" s="1" t="s">
        <v>1553</v>
      </c>
      <c r="B308">
        <v>307</v>
      </c>
      <c r="C308" s="1" t="s">
        <v>1554</v>
      </c>
      <c r="D308" s="1" t="s">
        <v>83</v>
      </c>
      <c r="E308" s="1" t="s">
        <v>41</v>
      </c>
      <c r="F308" s="1" t="s">
        <v>83</v>
      </c>
      <c r="G308" s="1" t="s">
        <v>83</v>
      </c>
      <c r="H308" s="1" t="s">
        <v>74</v>
      </c>
      <c r="I308" s="1" t="s">
        <v>32</v>
      </c>
      <c r="J308" s="1" t="s">
        <v>75</v>
      </c>
      <c r="K308" s="1" t="s">
        <v>1555</v>
      </c>
      <c r="L308">
        <v>3</v>
      </c>
      <c r="M308">
        <v>0</v>
      </c>
      <c r="N308">
        <v>0</v>
      </c>
      <c r="O308">
        <v>2</v>
      </c>
      <c r="P308">
        <v>3</v>
      </c>
      <c r="Q308">
        <v>0</v>
      </c>
      <c r="R308">
        <v>0</v>
      </c>
      <c r="S308">
        <v>1</v>
      </c>
      <c r="T308">
        <v>1</v>
      </c>
      <c r="U308" s="1" t="s">
        <v>1556</v>
      </c>
      <c r="V308" s="1" t="s">
        <v>398</v>
      </c>
      <c r="W308" s="1">
        <f t="shared" si="4"/>
        <v>255.95</v>
      </c>
      <c r="X308" s="1" t="s">
        <v>1116</v>
      </c>
      <c r="Y308">
        <v>1</v>
      </c>
      <c r="Z308">
        <v>1</v>
      </c>
      <c r="AA308">
        <v>38</v>
      </c>
    </row>
    <row r="309" spans="1:27" x14ac:dyDescent="0.3">
      <c r="A309" s="1" t="s">
        <v>1557</v>
      </c>
      <c r="B309">
        <v>308</v>
      </c>
      <c r="C309" s="1" t="s">
        <v>1558</v>
      </c>
      <c r="D309" s="1" t="s">
        <v>923</v>
      </c>
      <c r="E309" s="1" t="s">
        <v>32</v>
      </c>
      <c r="F309" s="1" t="s">
        <v>92</v>
      </c>
      <c r="G309" s="1" t="s">
        <v>923</v>
      </c>
      <c r="H309" s="1" t="s">
        <v>29</v>
      </c>
      <c r="I309" s="1" t="s">
        <v>32</v>
      </c>
      <c r="J309" s="1" t="s">
        <v>41</v>
      </c>
      <c r="K309" s="1" t="s">
        <v>1559</v>
      </c>
      <c r="L309">
        <v>3</v>
      </c>
      <c r="M309">
        <v>1</v>
      </c>
      <c r="N309">
        <v>0</v>
      </c>
      <c r="O309">
        <v>3</v>
      </c>
      <c r="P309">
        <v>4</v>
      </c>
      <c r="Q309">
        <v>0</v>
      </c>
      <c r="R309">
        <v>0</v>
      </c>
      <c r="S309">
        <v>1</v>
      </c>
      <c r="T309">
        <v>1</v>
      </c>
      <c r="U309" s="1" t="s">
        <v>1560</v>
      </c>
      <c r="V309" s="1" t="s">
        <v>96</v>
      </c>
      <c r="W309" s="1">
        <f t="shared" si="4"/>
        <v>229.39</v>
      </c>
      <c r="X309" s="1" t="s">
        <v>1561</v>
      </c>
      <c r="Y309">
        <v>1</v>
      </c>
      <c r="Z309">
        <v>1</v>
      </c>
      <c r="AA309">
        <v>39</v>
      </c>
    </row>
    <row r="310" spans="1:27" x14ac:dyDescent="0.3">
      <c r="A310" s="1" t="s">
        <v>1562</v>
      </c>
      <c r="B310">
        <v>309</v>
      </c>
      <c r="C310" s="1" t="s">
        <v>1563</v>
      </c>
      <c r="D310" s="1" t="s">
        <v>1564</v>
      </c>
      <c r="E310" s="1" t="s">
        <v>29</v>
      </c>
      <c r="F310" s="1" t="s">
        <v>101</v>
      </c>
      <c r="G310" s="1" t="s">
        <v>929</v>
      </c>
      <c r="H310" s="1" t="s">
        <v>32</v>
      </c>
      <c r="I310" s="1" t="s">
        <v>32</v>
      </c>
      <c r="J310" s="1" t="s">
        <v>32</v>
      </c>
      <c r="K310" s="1" t="s">
        <v>1565</v>
      </c>
      <c r="L310">
        <v>3</v>
      </c>
      <c r="M310">
        <v>0</v>
      </c>
      <c r="N310">
        <v>0</v>
      </c>
      <c r="O310">
        <v>4</v>
      </c>
      <c r="P310">
        <v>3</v>
      </c>
      <c r="Q310">
        <v>0</v>
      </c>
      <c r="R310">
        <v>0</v>
      </c>
      <c r="S310">
        <v>1</v>
      </c>
      <c r="T310">
        <v>1</v>
      </c>
      <c r="U310" s="1" t="s">
        <v>1565</v>
      </c>
      <c r="V310" s="1" t="s">
        <v>104</v>
      </c>
      <c r="W310" s="1">
        <f t="shared" si="4"/>
        <v>76.84</v>
      </c>
      <c r="X310" s="1" t="s">
        <v>888</v>
      </c>
      <c r="Y310">
        <v>1</v>
      </c>
      <c r="Z310">
        <v>1</v>
      </c>
      <c r="AA310">
        <v>40</v>
      </c>
    </row>
    <row r="311" spans="1:27" x14ac:dyDescent="0.3">
      <c r="A311" s="1" t="s">
        <v>1566</v>
      </c>
      <c r="B311">
        <v>310</v>
      </c>
      <c r="C311" s="1" t="s">
        <v>1567</v>
      </c>
      <c r="D311" s="1" t="s">
        <v>1568</v>
      </c>
      <c r="E311" s="1" t="s">
        <v>39</v>
      </c>
      <c r="F311" s="1" t="s">
        <v>108</v>
      </c>
      <c r="G311" s="1" t="s">
        <v>935</v>
      </c>
      <c r="H311" s="1" t="s">
        <v>41</v>
      </c>
      <c r="I311" s="1" t="s">
        <v>32</v>
      </c>
      <c r="J311" s="1" t="s">
        <v>74</v>
      </c>
      <c r="K311" s="1" t="s">
        <v>1569</v>
      </c>
      <c r="L311">
        <v>1</v>
      </c>
      <c r="M311">
        <v>0</v>
      </c>
      <c r="N311">
        <v>0</v>
      </c>
      <c r="O311">
        <v>5</v>
      </c>
      <c r="P311">
        <v>1</v>
      </c>
      <c r="Q311">
        <v>0</v>
      </c>
      <c r="R311">
        <v>0</v>
      </c>
      <c r="S311">
        <v>1</v>
      </c>
      <c r="T311">
        <v>1</v>
      </c>
      <c r="U311" s="1" t="s">
        <v>1570</v>
      </c>
      <c r="V311" s="1" t="s">
        <v>111</v>
      </c>
      <c r="W311" s="1">
        <f t="shared" si="4"/>
        <v>80.229999999999905</v>
      </c>
      <c r="X311" s="1" t="s">
        <v>1571</v>
      </c>
      <c r="Y311">
        <v>1</v>
      </c>
      <c r="Z311">
        <v>1</v>
      </c>
      <c r="AA311">
        <v>41</v>
      </c>
    </row>
    <row r="312" spans="1:27" x14ac:dyDescent="0.3">
      <c r="A312" s="1" t="s">
        <v>1572</v>
      </c>
      <c r="B312">
        <v>311</v>
      </c>
      <c r="C312" s="1" t="s">
        <v>1573</v>
      </c>
      <c r="D312" s="1" t="s">
        <v>1574</v>
      </c>
      <c r="E312" s="1" t="s">
        <v>41</v>
      </c>
      <c r="F312" s="1" t="s">
        <v>116</v>
      </c>
      <c r="G312" s="1" t="s">
        <v>941</v>
      </c>
      <c r="H312" s="1" t="s">
        <v>48</v>
      </c>
      <c r="I312" s="1" t="s">
        <v>32</v>
      </c>
      <c r="J312" s="1" t="s">
        <v>29</v>
      </c>
      <c r="K312" s="1" t="s">
        <v>1575</v>
      </c>
      <c r="L312">
        <v>1</v>
      </c>
      <c r="M312">
        <v>0</v>
      </c>
      <c r="N312">
        <v>0</v>
      </c>
      <c r="O312">
        <v>6</v>
      </c>
      <c r="P312">
        <v>1</v>
      </c>
      <c r="Q312">
        <v>0</v>
      </c>
      <c r="R312">
        <v>0</v>
      </c>
      <c r="S312">
        <v>1</v>
      </c>
      <c r="T312">
        <v>1</v>
      </c>
      <c r="U312" s="1" t="s">
        <v>1576</v>
      </c>
      <c r="V312" s="1" t="s">
        <v>169</v>
      </c>
      <c r="W312" s="1">
        <f t="shared" si="4"/>
        <v>270.07</v>
      </c>
      <c r="X312" s="1" t="s">
        <v>895</v>
      </c>
      <c r="Y312">
        <v>1</v>
      </c>
      <c r="Z312">
        <v>1</v>
      </c>
      <c r="AA312">
        <v>42</v>
      </c>
    </row>
    <row r="313" spans="1:27" x14ac:dyDescent="0.3">
      <c r="A313" s="1" t="s">
        <v>1577</v>
      </c>
      <c r="B313">
        <v>312</v>
      </c>
      <c r="C313" s="1" t="s">
        <v>1578</v>
      </c>
      <c r="D313" s="1" t="s">
        <v>125</v>
      </c>
      <c r="E313" s="1" t="s">
        <v>32</v>
      </c>
      <c r="F313" s="1" t="s">
        <v>125</v>
      </c>
      <c r="G313" s="1" t="s">
        <v>124</v>
      </c>
      <c r="H313" s="1" t="s">
        <v>55</v>
      </c>
      <c r="I313" s="1" t="s">
        <v>32</v>
      </c>
      <c r="J313" s="1" t="s">
        <v>75</v>
      </c>
      <c r="K313" s="1" t="s">
        <v>972</v>
      </c>
      <c r="L313">
        <v>1</v>
      </c>
      <c r="M313">
        <v>2</v>
      </c>
      <c r="N313">
        <v>1</v>
      </c>
      <c r="O313">
        <v>1</v>
      </c>
      <c r="P313">
        <v>4</v>
      </c>
      <c r="Q313">
        <v>0</v>
      </c>
      <c r="R313">
        <v>0</v>
      </c>
      <c r="S313">
        <v>1</v>
      </c>
      <c r="T313">
        <v>1</v>
      </c>
      <c r="U313" s="1" t="s">
        <v>972</v>
      </c>
      <c r="V313" s="1" t="s">
        <v>127</v>
      </c>
      <c r="W313" s="1">
        <f t="shared" si="4"/>
        <v>47.46</v>
      </c>
      <c r="X313" s="1" t="s">
        <v>973</v>
      </c>
      <c r="Y313">
        <v>1</v>
      </c>
      <c r="Z313">
        <v>1</v>
      </c>
      <c r="AA313">
        <v>43</v>
      </c>
    </row>
    <row r="314" spans="1:27" x14ac:dyDescent="0.3">
      <c r="A314" s="1" t="s">
        <v>1579</v>
      </c>
      <c r="B314">
        <v>313</v>
      </c>
      <c r="C314" s="1" t="s">
        <v>1580</v>
      </c>
      <c r="D314" s="1" t="s">
        <v>1581</v>
      </c>
      <c r="E314" s="1" t="s">
        <v>29</v>
      </c>
      <c r="F314" s="1" t="s">
        <v>131</v>
      </c>
      <c r="G314" s="1" t="s">
        <v>953</v>
      </c>
      <c r="H314" s="1" t="s">
        <v>63</v>
      </c>
      <c r="I314" s="1" t="s">
        <v>32</v>
      </c>
      <c r="J314" s="1" t="s">
        <v>41</v>
      </c>
      <c r="K314" s="1" t="s">
        <v>1582</v>
      </c>
      <c r="L314">
        <v>2</v>
      </c>
      <c r="M314">
        <v>0</v>
      </c>
      <c r="N314">
        <v>0</v>
      </c>
      <c r="O314">
        <v>2</v>
      </c>
      <c r="P314">
        <v>2</v>
      </c>
      <c r="Q314">
        <v>0</v>
      </c>
      <c r="R314">
        <v>0</v>
      </c>
      <c r="S314">
        <v>1</v>
      </c>
      <c r="T314">
        <v>1</v>
      </c>
      <c r="U314" s="1" t="s">
        <v>1583</v>
      </c>
      <c r="V314" s="1" t="s">
        <v>1259</v>
      </c>
      <c r="W314" s="1">
        <f t="shared" si="4"/>
        <v>292.22000000000003</v>
      </c>
      <c r="X314" s="1" t="s">
        <v>1535</v>
      </c>
      <c r="Y314">
        <v>1</v>
      </c>
      <c r="Z314">
        <v>1</v>
      </c>
      <c r="AA314">
        <v>44</v>
      </c>
    </row>
    <row r="315" spans="1:27" x14ac:dyDescent="0.3">
      <c r="A315" s="1" t="s">
        <v>1584</v>
      </c>
      <c r="B315">
        <v>314</v>
      </c>
      <c r="C315" s="1" t="s">
        <v>1585</v>
      </c>
      <c r="D315" s="1" t="s">
        <v>1586</v>
      </c>
      <c r="E315" s="1" t="s">
        <v>39</v>
      </c>
      <c r="F315" s="1" t="s">
        <v>140</v>
      </c>
      <c r="G315" s="1" t="s">
        <v>959</v>
      </c>
      <c r="H315" s="1" t="s">
        <v>74</v>
      </c>
      <c r="I315" s="1" t="s">
        <v>32</v>
      </c>
      <c r="J315" s="1" t="s">
        <v>32</v>
      </c>
      <c r="K315" s="1" t="s">
        <v>1587</v>
      </c>
      <c r="L315">
        <v>2</v>
      </c>
      <c r="M315">
        <v>0</v>
      </c>
      <c r="N315">
        <v>0</v>
      </c>
      <c r="O315">
        <v>3</v>
      </c>
      <c r="P315">
        <v>2</v>
      </c>
      <c r="Q315">
        <v>0</v>
      </c>
      <c r="R315">
        <v>0</v>
      </c>
      <c r="S315">
        <v>1</v>
      </c>
      <c r="T315">
        <v>1</v>
      </c>
      <c r="U315" s="1" t="s">
        <v>1588</v>
      </c>
      <c r="V315" s="1" t="s">
        <v>1266</v>
      </c>
      <c r="W315" s="1">
        <f t="shared" si="4"/>
        <v>192.78</v>
      </c>
      <c r="X315" s="1">
        <v>678</v>
      </c>
      <c r="Y315">
        <v>1</v>
      </c>
      <c r="Z315">
        <v>1</v>
      </c>
      <c r="AA315">
        <v>45</v>
      </c>
    </row>
    <row r="316" spans="1:27" x14ac:dyDescent="0.3">
      <c r="A316" s="1" t="s">
        <v>1589</v>
      </c>
      <c r="B316">
        <v>315</v>
      </c>
      <c r="C316" s="1" t="s">
        <v>1590</v>
      </c>
      <c r="D316" s="1" t="s">
        <v>149</v>
      </c>
      <c r="E316" s="1" t="s">
        <v>41</v>
      </c>
      <c r="F316" s="1" t="s">
        <v>149</v>
      </c>
      <c r="G316" s="1" t="s">
        <v>149</v>
      </c>
      <c r="H316" s="1" t="s">
        <v>29</v>
      </c>
      <c r="I316" s="1" t="s">
        <v>32</v>
      </c>
      <c r="J316" s="1" t="s">
        <v>74</v>
      </c>
      <c r="K316" s="1" t="s">
        <v>1591</v>
      </c>
      <c r="L316">
        <v>2</v>
      </c>
      <c r="M316">
        <v>0</v>
      </c>
      <c r="N316">
        <v>0</v>
      </c>
      <c r="O316">
        <v>4</v>
      </c>
      <c r="P316">
        <v>2</v>
      </c>
      <c r="Q316">
        <v>0</v>
      </c>
      <c r="R316">
        <v>0</v>
      </c>
      <c r="S316">
        <v>1</v>
      </c>
      <c r="T316">
        <v>1</v>
      </c>
      <c r="U316" s="1" t="s">
        <v>1591</v>
      </c>
      <c r="V316" s="1" t="s">
        <v>152</v>
      </c>
      <c r="W316" s="1">
        <f t="shared" si="4"/>
        <v>63.28</v>
      </c>
      <c r="X316" s="1" t="s">
        <v>1592</v>
      </c>
      <c r="Y316">
        <v>1</v>
      </c>
      <c r="Z316">
        <v>1</v>
      </c>
      <c r="AA316">
        <v>46</v>
      </c>
    </row>
    <row r="317" spans="1:27" x14ac:dyDescent="0.3">
      <c r="A317" s="1" t="s">
        <v>1593</v>
      </c>
      <c r="B317">
        <v>316</v>
      </c>
      <c r="C317" s="1" t="s">
        <v>1594</v>
      </c>
      <c r="D317" s="1" t="s">
        <v>157</v>
      </c>
      <c r="E317" s="1" t="s">
        <v>32</v>
      </c>
      <c r="F317" s="1" t="s">
        <v>157</v>
      </c>
      <c r="G317" s="1" t="s">
        <v>971</v>
      </c>
      <c r="H317" s="1" t="s">
        <v>32</v>
      </c>
      <c r="I317" s="1" t="s">
        <v>32</v>
      </c>
      <c r="J317" s="1" t="s">
        <v>29</v>
      </c>
      <c r="K317" s="1" t="s">
        <v>924</v>
      </c>
      <c r="L317">
        <v>3</v>
      </c>
      <c r="M317">
        <v>1</v>
      </c>
      <c r="N317">
        <v>0</v>
      </c>
      <c r="O317">
        <v>5</v>
      </c>
      <c r="P317">
        <v>4</v>
      </c>
      <c r="Q317">
        <v>0</v>
      </c>
      <c r="R317">
        <v>0</v>
      </c>
      <c r="S317">
        <v>1</v>
      </c>
      <c r="T317">
        <v>1</v>
      </c>
      <c r="U317" s="1" t="s">
        <v>925</v>
      </c>
      <c r="V317" s="1" t="s">
        <v>161</v>
      </c>
      <c r="W317" s="1">
        <f t="shared" si="4"/>
        <v>66.67</v>
      </c>
      <c r="X317" s="1">
        <v>1243</v>
      </c>
      <c r="Y317">
        <v>1</v>
      </c>
      <c r="Z317">
        <v>1</v>
      </c>
      <c r="AA317">
        <v>47</v>
      </c>
    </row>
    <row r="318" spans="1:27" x14ac:dyDescent="0.3">
      <c r="A318" s="1" t="s">
        <v>1595</v>
      </c>
      <c r="B318">
        <v>317</v>
      </c>
      <c r="C318" s="1" t="s">
        <v>1596</v>
      </c>
      <c r="D318" s="1" t="s">
        <v>165</v>
      </c>
      <c r="E318" s="1" t="s">
        <v>29</v>
      </c>
      <c r="F318" s="1" t="s">
        <v>165</v>
      </c>
      <c r="G318" s="1" t="s">
        <v>164</v>
      </c>
      <c r="H318" s="1" t="s">
        <v>41</v>
      </c>
      <c r="I318" s="1" t="s">
        <v>32</v>
      </c>
      <c r="J318" s="1" t="s">
        <v>75</v>
      </c>
      <c r="K318" s="1" t="s">
        <v>930</v>
      </c>
      <c r="L318">
        <v>3</v>
      </c>
      <c r="M318">
        <v>0</v>
      </c>
      <c r="N318">
        <v>0</v>
      </c>
      <c r="O318">
        <v>6</v>
      </c>
      <c r="P318">
        <v>3</v>
      </c>
      <c r="Q318">
        <v>0</v>
      </c>
      <c r="R318">
        <v>0</v>
      </c>
      <c r="S318">
        <v>1</v>
      </c>
      <c r="T318">
        <v>1</v>
      </c>
      <c r="U318" s="1" t="s">
        <v>931</v>
      </c>
      <c r="V318" s="1" t="s">
        <v>169</v>
      </c>
      <c r="W318" s="1">
        <f t="shared" si="4"/>
        <v>270.07</v>
      </c>
      <c r="X318" s="1" t="s">
        <v>932</v>
      </c>
      <c r="Y318">
        <v>1</v>
      </c>
      <c r="Z318">
        <v>1</v>
      </c>
      <c r="AA318">
        <v>48</v>
      </c>
    </row>
    <row r="319" spans="1:27" x14ac:dyDescent="0.3">
      <c r="A319" s="1" t="s">
        <v>1597</v>
      </c>
      <c r="B319">
        <v>318</v>
      </c>
      <c r="C319" s="1" t="s">
        <v>1598</v>
      </c>
      <c r="D319" s="1" t="s">
        <v>1599</v>
      </c>
      <c r="E319" s="1" t="s">
        <v>39</v>
      </c>
      <c r="F319" s="1" t="s">
        <v>174</v>
      </c>
      <c r="G319" s="1" t="s">
        <v>173</v>
      </c>
      <c r="H319" s="1" t="s">
        <v>48</v>
      </c>
      <c r="I319" s="1" t="s">
        <v>32</v>
      </c>
      <c r="J319" s="1" t="s">
        <v>41</v>
      </c>
      <c r="K319" s="1" t="s">
        <v>1600</v>
      </c>
      <c r="L319">
        <v>3</v>
      </c>
      <c r="M319">
        <v>2</v>
      </c>
      <c r="N319">
        <v>0</v>
      </c>
      <c r="O319">
        <v>1</v>
      </c>
      <c r="P319">
        <v>5</v>
      </c>
      <c r="Q319">
        <v>0</v>
      </c>
      <c r="R319">
        <v>0</v>
      </c>
      <c r="S319">
        <v>1</v>
      </c>
      <c r="T319">
        <v>1</v>
      </c>
      <c r="U319" s="1" t="s">
        <v>1600</v>
      </c>
      <c r="V319" s="1" t="s">
        <v>177</v>
      </c>
      <c r="W319" s="1">
        <f t="shared" si="4"/>
        <v>61.02</v>
      </c>
      <c r="X319" s="1" t="s">
        <v>1601</v>
      </c>
      <c r="Y319">
        <v>1</v>
      </c>
      <c r="Z319">
        <v>1</v>
      </c>
      <c r="AA319">
        <v>49</v>
      </c>
    </row>
    <row r="320" spans="1:27" x14ac:dyDescent="0.3">
      <c r="A320" s="1" t="s">
        <v>1602</v>
      </c>
      <c r="B320">
        <v>319</v>
      </c>
      <c r="C320" s="1" t="s">
        <v>1603</v>
      </c>
      <c r="D320" s="1" t="s">
        <v>1604</v>
      </c>
      <c r="E320" s="1" t="s">
        <v>41</v>
      </c>
      <c r="F320" s="1" t="s">
        <v>181</v>
      </c>
      <c r="G320" s="1" t="s">
        <v>987</v>
      </c>
      <c r="H320" s="1" t="s">
        <v>55</v>
      </c>
      <c r="I320" s="1" t="s">
        <v>32</v>
      </c>
      <c r="J320" s="1" t="s">
        <v>32</v>
      </c>
      <c r="K320" s="1" t="s">
        <v>942</v>
      </c>
      <c r="L320">
        <v>3</v>
      </c>
      <c r="M320">
        <v>0</v>
      </c>
      <c r="N320">
        <v>0</v>
      </c>
      <c r="O320">
        <v>2</v>
      </c>
      <c r="P320">
        <v>3</v>
      </c>
      <c r="Q320">
        <v>0</v>
      </c>
      <c r="R320">
        <v>0</v>
      </c>
      <c r="S320">
        <v>1</v>
      </c>
      <c r="T320">
        <v>1</v>
      </c>
      <c r="U320" s="1" t="s">
        <v>943</v>
      </c>
      <c r="V320" s="1" t="s">
        <v>87</v>
      </c>
      <c r="W320" s="1">
        <f t="shared" si="4"/>
        <v>274.58999999999997</v>
      </c>
      <c r="X320" s="1" t="s">
        <v>944</v>
      </c>
      <c r="Y320">
        <v>1</v>
      </c>
      <c r="Z320">
        <v>1</v>
      </c>
      <c r="AA320">
        <v>50</v>
      </c>
    </row>
    <row r="321" spans="1:27" x14ac:dyDescent="0.3">
      <c r="A321" s="1" t="s">
        <v>1605</v>
      </c>
      <c r="B321">
        <v>320</v>
      </c>
      <c r="C321" s="1" t="s">
        <v>1606</v>
      </c>
      <c r="D321" s="1" t="s">
        <v>188</v>
      </c>
      <c r="E321" s="1" t="s">
        <v>32</v>
      </c>
      <c r="F321" s="1" t="s">
        <v>188</v>
      </c>
      <c r="G321" s="1" t="s">
        <v>990</v>
      </c>
      <c r="H321" s="1" t="s">
        <v>63</v>
      </c>
      <c r="I321" s="1" t="s">
        <v>32</v>
      </c>
      <c r="J321" s="1" t="s">
        <v>74</v>
      </c>
      <c r="K321" s="1" t="s">
        <v>1607</v>
      </c>
      <c r="L321">
        <v>1</v>
      </c>
      <c r="M321">
        <v>1</v>
      </c>
      <c r="N321">
        <v>0</v>
      </c>
      <c r="O321">
        <v>3</v>
      </c>
      <c r="P321">
        <v>2</v>
      </c>
      <c r="Q321">
        <v>0</v>
      </c>
      <c r="R321">
        <v>0</v>
      </c>
      <c r="S321">
        <v>1</v>
      </c>
      <c r="T321">
        <v>1</v>
      </c>
      <c r="U321" s="1" t="s">
        <v>1608</v>
      </c>
      <c r="V321" s="1" t="s">
        <v>475</v>
      </c>
      <c r="W321" s="1">
        <f t="shared" si="4"/>
        <v>221.71</v>
      </c>
      <c r="X321" s="1" t="s">
        <v>1609</v>
      </c>
      <c r="Y321">
        <v>1</v>
      </c>
      <c r="Z321">
        <v>1</v>
      </c>
      <c r="AA321">
        <v>51</v>
      </c>
    </row>
    <row r="322" spans="1:27" x14ac:dyDescent="0.3">
      <c r="A322" s="1" t="s">
        <v>1610</v>
      </c>
      <c r="B322">
        <v>321</v>
      </c>
      <c r="C322" s="1" t="s">
        <v>1611</v>
      </c>
      <c r="D322" s="1" t="s">
        <v>197</v>
      </c>
      <c r="E322" s="1" t="s">
        <v>29</v>
      </c>
      <c r="F322" s="1" t="s">
        <v>197</v>
      </c>
      <c r="G322" s="1" t="s">
        <v>31</v>
      </c>
      <c r="H322" s="1" t="s">
        <v>74</v>
      </c>
      <c r="I322" s="1" t="s">
        <v>33</v>
      </c>
      <c r="J322" s="1" t="s">
        <v>33</v>
      </c>
      <c r="K322" s="1" t="s">
        <v>34</v>
      </c>
      <c r="L322">
        <v>1</v>
      </c>
      <c r="M322">
        <v>0</v>
      </c>
      <c r="N322">
        <v>0</v>
      </c>
      <c r="O322">
        <v>4</v>
      </c>
      <c r="P322">
        <v>1</v>
      </c>
      <c r="Q322">
        <v>1</v>
      </c>
      <c r="R322">
        <v>0</v>
      </c>
      <c r="S322">
        <v>0</v>
      </c>
      <c r="T322">
        <v>0</v>
      </c>
      <c r="U322" s="1" t="s">
        <v>198</v>
      </c>
      <c r="V322" s="1">
        <v>0</v>
      </c>
      <c r="W322" s="1">
        <f t="shared" ref="W322:W385" si="5">VALUE(SUBSTITUTE(TRIM(V322),".", ","))</f>
        <v>0</v>
      </c>
      <c r="X322" s="1" t="s">
        <v>198</v>
      </c>
      <c r="Y322">
        <v>1</v>
      </c>
      <c r="Z322">
        <v>0</v>
      </c>
      <c r="AA322">
        <v>52</v>
      </c>
    </row>
    <row r="323" spans="1:27" x14ac:dyDescent="0.3">
      <c r="A323" s="1" t="s">
        <v>1612</v>
      </c>
      <c r="B323">
        <v>322</v>
      </c>
      <c r="C323" s="1" t="s">
        <v>1613</v>
      </c>
      <c r="D323" s="1" t="s">
        <v>1614</v>
      </c>
      <c r="E323" s="1" t="s">
        <v>39</v>
      </c>
      <c r="F323" s="1" t="s">
        <v>202</v>
      </c>
      <c r="G323" s="1" t="s">
        <v>40</v>
      </c>
      <c r="H323" s="1" t="s">
        <v>29</v>
      </c>
      <c r="I323" s="1" t="s">
        <v>33</v>
      </c>
      <c r="J323" s="1" t="s">
        <v>33</v>
      </c>
      <c r="K323" s="1" t="s">
        <v>34</v>
      </c>
      <c r="L323">
        <v>1</v>
      </c>
      <c r="M323">
        <v>0</v>
      </c>
      <c r="N323">
        <v>0</v>
      </c>
      <c r="O323">
        <v>5</v>
      </c>
      <c r="P323">
        <v>1</v>
      </c>
      <c r="Q323">
        <v>1</v>
      </c>
      <c r="R323">
        <v>0</v>
      </c>
      <c r="S323">
        <v>0</v>
      </c>
      <c r="T323">
        <v>0</v>
      </c>
      <c r="U323" s="1" t="s">
        <v>204</v>
      </c>
      <c r="V323" s="1">
        <v>0</v>
      </c>
      <c r="W323" s="1">
        <f t="shared" si="5"/>
        <v>0</v>
      </c>
      <c r="X323" s="1" t="s">
        <v>204</v>
      </c>
      <c r="Y323">
        <v>1</v>
      </c>
      <c r="Z323">
        <v>0</v>
      </c>
      <c r="AA323">
        <v>53</v>
      </c>
    </row>
    <row r="324" spans="1:27" x14ac:dyDescent="0.3">
      <c r="A324" s="1" t="s">
        <v>1615</v>
      </c>
      <c r="B324">
        <v>323</v>
      </c>
      <c r="C324" s="1" t="s">
        <v>1616</v>
      </c>
      <c r="D324" s="1" t="s">
        <v>1617</v>
      </c>
      <c r="E324" s="1" t="s">
        <v>41</v>
      </c>
      <c r="F324" s="1" t="s">
        <v>45</v>
      </c>
      <c r="G324" s="1" t="s">
        <v>47</v>
      </c>
      <c r="H324" s="1" t="s">
        <v>32</v>
      </c>
      <c r="I324" s="1" t="s">
        <v>33</v>
      </c>
      <c r="J324" s="1" t="s">
        <v>33</v>
      </c>
      <c r="K324" s="1" t="s">
        <v>34</v>
      </c>
      <c r="L324">
        <v>2</v>
      </c>
      <c r="M324">
        <v>0</v>
      </c>
      <c r="N324">
        <v>0</v>
      </c>
      <c r="O324">
        <v>6</v>
      </c>
      <c r="P324">
        <v>2</v>
      </c>
      <c r="Q324">
        <v>1</v>
      </c>
      <c r="R324">
        <v>0</v>
      </c>
      <c r="S324">
        <v>0</v>
      </c>
      <c r="T324">
        <v>0</v>
      </c>
      <c r="U324" s="1" t="s">
        <v>121</v>
      </c>
      <c r="V324" s="1">
        <v>0</v>
      </c>
      <c r="W324" s="1">
        <f t="shared" si="5"/>
        <v>0</v>
      </c>
      <c r="X324" s="1" t="s">
        <v>121</v>
      </c>
      <c r="Y324">
        <v>1</v>
      </c>
      <c r="Z324">
        <v>0</v>
      </c>
      <c r="AA324">
        <v>54</v>
      </c>
    </row>
    <row r="325" spans="1:27" x14ac:dyDescent="0.3">
      <c r="A325" s="1" t="s">
        <v>1618</v>
      </c>
      <c r="B325">
        <v>324</v>
      </c>
      <c r="C325" s="1" t="s">
        <v>1619</v>
      </c>
      <c r="D325" s="1" t="s">
        <v>211</v>
      </c>
      <c r="E325" s="1" t="s">
        <v>32</v>
      </c>
      <c r="F325" s="1" t="s">
        <v>211</v>
      </c>
      <c r="G325" s="1" t="s">
        <v>54</v>
      </c>
      <c r="H325" s="1" t="s">
        <v>41</v>
      </c>
      <c r="I325" s="1" t="s">
        <v>56</v>
      </c>
      <c r="J325" s="1" t="s">
        <v>33</v>
      </c>
      <c r="K325" s="1" t="s">
        <v>34</v>
      </c>
      <c r="L325">
        <v>2</v>
      </c>
      <c r="M325">
        <v>2</v>
      </c>
      <c r="N325">
        <v>1</v>
      </c>
      <c r="O325">
        <v>1</v>
      </c>
      <c r="P325">
        <v>5</v>
      </c>
      <c r="Q325">
        <v>0</v>
      </c>
      <c r="R325">
        <v>1</v>
      </c>
      <c r="S325">
        <v>0</v>
      </c>
      <c r="T325">
        <v>0</v>
      </c>
      <c r="U325" s="1" t="s">
        <v>282</v>
      </c>
      <c r="V325" s="1">
        <v>0</v>
      </c>
      <c r="W325" s="1">
        <f t="shared" si="5"/>
        <v>0</v>
      </c>
      <c r="X325" s="1" t="s">
        <v>282</v>
      </c>
      <c r="Y325">
        <v>1</v>
      </c>
      <c r="Z325">
        <v>0</v>
      </c>
      <c r="AA325">
        <v>55</v>
      </c>
    </row>
    <row r="326" spans="1:27" x14ac:dyDescent="0.3">
      <c r="A326" s="1" t="s">
        <v>1620</v>
      </c>
      <c r="B326">
        <v>325</v>
      </c>
      <c r="C326" s="1" t="s">
        <v>1621</v>
      </c>
      <c r="D326" s="1" t="s">
        <v>215</v>
      </c>
      <c r="E326" s="1" t="s">
        <v>29</v>
      </c>
      <c r="F326" s="1" t="s">
        <v>215</v>
      </c>
      <c r="G326" s="1" t="s">
        <v>62</v>
      </c>
      <c r="H326" s="1" t="s">
        <v>48</v>
      </c>
      <c r="I326" s="1" t="s">
        <v>64</v>
      </c>
      <c r="J326" s="1" t="s">
        <v>75</v>
      </c>
      <c r="K326" s="1" t="s">
        <v>217</v>
      </c>
      <c r="L326">
        <v>2</v>
      </c>
      <c r="M326">
        <v>0</v>
      </c>
      <c r="N326">
        <v>0</v>
      </c>
      <c r="O326">
        <v>2</v>
      </c>
      <c r="P326">
        <v>2</v>
      </c>
      <c r="Q326">
        <v>0</v>
      </c>
      <c r="R326">
        <v>0</v>
      </c>
      <c r="S326">
        <v>0</v>
      </c>
      <c r="T326">
        <v>0</v>
      </c>
      <c r="U326" s="1" t="s">
        <v>218</v>
      </c>
      <c r="V326" s="1" t="s">
        <v>219</v>
      </c>
      <c r="W326" s="1">
        <f t="shared" si="5"/>
        <v>206.79</v>
      </c>
      <c r="X326" s="1" t="s">
        <v>220</v>
      </c>
      <c r="Y326">
        <v>1</v>
      </c>
      <c r="Z326">
        <v>0</v>
      </c>
      <c r="AA326">
        <v>56</v>
      </c>
    </row>
    <row r="327" spans="1:27" x14ac:dyDescent="0.3">
      <c r="A327" s="1" t="s">
        <v>1622</v>
      </c>
      <c r="B327">
        <v>326</v>
      </c>
      <c r="C327" s="1" t="s">
        <v>1623</v>
      </c>
      <c r="D327" s="1" t="s">
        <v>1624</v>
      </c>
      <c r="E327" s="1" t="s">
        <v>39</v>
      </c>
      <c r="F327" s="1" t="s">
        <v>71</v>
      </c>
      <c r="G327" s="1" t="s">
        <v>73</v>
      </c>
      <c r="H327" s="1" t="s">
        <v>55</v>
      </c>
      <c r="I327" s="1" t="s">
        <v>64</v>
      </c>
      <c r="J327" s="1" t="s">
        <v>41</v>
      </c>
      <c r="K327" s="1" t="s">
        <v>224</v>
      </c>
      <c r="L327">
        <v>3</v>
      </c>
      <c r="M327">
        <v>0</v>
      </c>
      <c r="N327">
        <v>0</v>
      </c>
      <c r="O327">
        <v>3</v>
      </c>
      <c r="P327">
        <v>3</v>
      </c>
      <c r="Q327">
        <v>0</v>
      </c>
      <c r="R327">
        <v>0</v>
      </c>
      <c r="S327">
        <v>0</v>
      </c>
      <c r="T327">
        <v>0</v>
      </c>
      <c r="U327" s="1" t="s">
        <v>225</v>
      </c>
      <c r="V327" s="1" t="s">
        <v>226</v>
      </c>
      <c r="W327" s="1">
        <f t="shared" si="5"/>
        <v>94.92</v>
      </c>
      <c r="X327" s="1" t="s">
        <v>227</v>
      </c>
      <c r="Y327">
        <v>1</v>
      </c>
      <c r="Z327">
        <v>0</v>
      </c>
      <c r="AA327">
        <v>57</v>
      </c>
    </row>
    <row r="328" spans="1:27" x14ac:dyDescent="0.3">
      <c r="A328" s="1" t="s">
        <v>1625</v>
      </c>
      <c r="B328">
        <v>327</v>
      </c>
      <c r="C328" s="1" t="s">
        <v>1626</v>
      </c>
      <c r="D328" s="1" t="s">
        <v>1627</v>
      </c>
      <c r="E328" s="1" t="s">
        <v>41</v>
      </c>
      <c r="F328" s="1" t="s">
        <v>230</v>
      </c>
      <c r="G328" s="1" t="s">
        <v>84</v>
      </c>
      <c r="H328" s="1" t="s">
        <v>63</v>
      </c>
      <c r="I328" s="1" t="s">
        <v>32</v>
      </c>
      <c r="J328" s="1" t="s">
        <v>41</v>
      </c>
      <c r="K328" s="1" t="s">
        <v>297</v>
      </c>
      <c r="L328">
        <v>3</v>
      </c>
      <c r="M328">
        <v>0</v>
      </c>
      <c r="N328">
        <v>0</v>
      </c>
      <c r="O328">
        <v>4</v>
      </c>
      <c r="P328">
        <v>3</v>
      </c>
      <c r="Q328">
        <v>0</v>
      </c>
      <c r="R328">
        <v>0</v>
      </c>
      <c r="S328">
        <v>1</v>
      </c>
      <c r="T328">
        <v>1</v>
      </c>
      <c r="U328" s="1" t="s">
        <v>297</v>
      </c>
      <c r="V328" s="1" t="s">
        <v>152</v>
      </c>
      <c r="W328" s="1">
        <f t="shared" si="5"/>
        <v>63.28</v>
      </c>
      <c r="X328" s="1" t="s">
        <v>49</v>
      </c>
      <c r="Y328">
        <v>1</v>
      </c>
      <c r="Z328">
        <v>1</v>
      </c>
      <c r="AA328">
        <v>58</v>
      </c>
    </row>
    <row r="329" spans="1:27" x14ac:dyDescent="0.3">
      <c r="A329" s="1" t="s">
        <v>1628</v>
      </c>
      <c r="B329">
        <v>328</v>
      </c>
      <c r="C329" s="1" t="s">
        <v>1629</v>
      </c>
      <c r="D329" s="1" t="s">
        <v>237</v>
      </c>
      <c r="E329" s="1" t="s">
        <v>32</v>
      </c>
      <c r="F329" s="1" t="s">
        <v>237</v>
      </c>
      <c r="G329" s="1" t="s">
        <v>93</v>
      </c>
      <c r="H329" s="1" t="s">
        <v>74</v>
      </c>
      <c r="I329" s="1" t="s">
        <v>32</v>
      </c>
      <c r="J329" s="1" t="s">
        <v>32</v>
      </c>
      <c r="K329" s="1" t="s">
        <v>1630</v>
      </c>
      <c r="L329">
        <v>3</v>
      </c>
      <c r="M329">
        <v>1</v>
      </c>
      <c r="N329">
        <v>0</v>
      </c>
      <c r="O329">
        <v>5</v>
      </c>
      <c r="P329">
        <v>4</v>
      </c>
      <c r="Q329">
        <v>0</v>
      </c>
      <c r="R329">
        <v>0</v>
      </c>
      <c r="S329">
        <v>1</v>
      </c>
      <c r="T329">
        <v>1</v>
      </c>
      <c r="U329" s="1" t="s">
        <v>1631</v>
      </c>
      <c r="V329" s="1" t="s">
        <v>520</v>
      </c>
      <c r="W329" s="1">
        <f t="shared" si="5"/>
        <v>62.26</v>
      </c>
      <c r="X329" s="1" t="s">
        <v>57</v>
      </c>
      <c r="Y329">
        <v>1</v>
      </c>
      <c r="Z329">
        <v>1</v>
      </c>
      <c r="AA329">
        <v>59</v>
      </c>
    </row>
    <row r="330" spans="1:27" x14ac:dyDescent="0.3">
      <c r="A330" s="1" t="s">
        <v>1632</v>
      </c>
      <c r="B330">
        <v>329</v>
      </c>
      <c r="C330" s="1" t="s">
        <v>1633</v>
      </c>
      <c r="D330" s="1" t="s">
        <v>102</v>
      </c>
      <c r="E330" s="1" t="s">
        <v>29</v>
      </c>
      <c r="F330" s="1" t="s">
        <v>102</v>
      </c>
      <c r="G330" s="1" t="s">
        <v>102</v>
      </c>
      <c r="H330" s="1" t="s">
        <v>29</v>
      </c>
      <c r="I330" s="1" t="s">
        <v>32</v>
      </c>
      <c r="J330" s="1" t="s">
        <v>74</v>
      </c>
      <c r="K330" s="1" t="s">
        <v>167</v>
      </c>
      <c r="L330">
        <v>3</v>
      </c>
      <c r="M330">
        <v>0</v>
      </c>
      <c r="N330">
        <v>0</v>
      </c>
      <c r="O330">
        <v>6</v>
      </c>
      <c r="P330">
        <v>3</v>
      </c>
      <c r="Q330">
        <v>0</v>
      </c>
      <c r="R330">
        <v>0</v>
      </c>
      <c r="S330">
        <v>1</v>
      </c>
      <c r="T330">
        <v>1</v>
      </c>
      <c r="U330" s="1" t="s">
        <v>168</v>
      </c>
      <c r="V330" s="1" t="s">
        <v>169</v>
      </c>
      <c r="W330" s="1">
        <f t="shared" si="5"/>
        <v>270.07</v>
      </c>
      <c r="X330" s="1" t="s">
        <v>170</v>
      </c>
      <c r="Y330">
        <v>1</v>
      </c>
      <c r="Z330">
        <v>1</v>
      </c>
      <c r="AA330">
        <v>60</v>
      </c>
    </row>
    <row r="331" spans="1:27" x14ac:dyDescent="0.3">
      <c r="A331" s="1" t="s">
        <v>1634</v>
      </c>
      <c r="B331">
        <v>330</v>
      </c>
      <c r="C331" s="1" t="s">
        <v>1635</v>
      </c>
      <c r="D331" s="1" t="s">
        <v>1636</v>
      </c>
      <c r="E331" s="1" t="s">
        <v>39</v>
      </c>
      <c r="F331" s="1" t="s">
        <v>245</v>
      </c>
      <c r="G331" s="1" t="s">
        <v>108</v>
      </c>
      <c r="H331" s="1" t="s">
        <v>32</v>
      </c>
      <c r="I331" s="1" t="s">
        <v>32</v>
      </c>
      <c r="J331" s="1" t="s">
        <v>29</v>
      </c>
      <c r="K331" s="1" t="s">
        <v>246</v>
      </c>
      <c r="L331">
        <v>1</v>
      </c>
      <c r="M331">
        <v>2</v>
      </c>
      <c r="N331">
        <v>0</v>
      </c>
      <c r="O331">
        <v>1</v>
      </c>
      <c r="P331">
        <v>3</v>
      </c>
      <c r="Q331">
        <v>0</v>
      </c>
      <c r="R331">
        <v>0</v>
      </c>
      <c r="S331">
        <v>1</v>
      </c>
      <c r="T331">
        <v>1</v>
      </c>
      <c r="U331" s="1" t="s">
        <v>246</v>
      </c>
      <c r="V331" s="1" t="s">
        <v>177</v>
      </c>
      <c r="W331" s="1">
        <f t="shared" si="5"/>
        <v>61.02</v>
      </c>
      <c r="X331" s="1" t="s">
        <v>247</v>
      </c>
      <c r="Y331">
        <v>1</v>
      </c>
      <c r="Z331">
        <v>1</v>
      </c>
      <c r="AA331">
        <v>61</v>
      </c>
    </row>
    <row r="332" spans="1:27" x14ac:dyDescent="0.3">
      <c r="A332" s="1" t="s">
        <v>1637</v>
      </c>
      <c r="B332">
        <v>331</v>
      </c>
      <c r="C332" s="1" t="s">
        <v>1638</v>
      </c>
      <c r="D332" s="1" t="s">
        <v>1639</v>
      </c>
      <c r="E332" s="1" t="s">
        <v>41</v>
      </c>
      <c r="F332" s="1" t="s">
        <v>250</v>
      </c>
      <c r="G332" s="1" t="s">
        <v>117</v>
      </c>
      <c r="H332" s="1" t="s">
        <v>41</v>
      </c>
      <c r="I332" s="1" t="s">
        <v>32</v>
      </c>
      <c r="J332" s="1" t="s">
        <v>75</v>
      </c>
      <c r="K332" s="1" t="s">
        <v>85</v>
      </c>
      <c r="L332">
        <v>1</v>
      </c>
      <c r="M332">
        <v>0</v>
      </c>
      <c r="N332">
        <v>0</v>
      </c>
      <c r="O332">
        <v>2</v>
      </c>
      <c r="P332">
        <v>1</v>
      </c>
      <c r="Q332">
        <v>0</v>
      </c>
      <c r="R332">
        <v>0</v>
      </c>
      <c r="S332">
        <v>1</v>
      </c>
      <c r="T332">
        <v>1</v>
      </c>
      <c r="U332" s="1" t="s">
        <v>86</v>
      </c>
      <c r="V332" s="1" t="s">
        <v>87</v>
      </c>
      <c r="W332" s="1">
        <f t="shared" si="5"/>
        <v>274.58999999999997</v>
      </c>
      <c r="X332" s="1" t="s">
        <v>88</v>
      </c>
      <c r="Y332">
        <v>1</v>
      </c>
      <c r="Z332">
        <v>1</v>
      </c>
      <c r="AA332">
        <v>62</v>
      </c>
    </row>
    <row r="333" spans="1:27" x14ac:dyDescent="0.3">
      <c r="A333" s="1" t="s">
        <v>1640</v>
      </c>
      <c r="B333">
        <v>332</v>
      </c>
      <c r="C333" s="1" t="s">
        <v>1641</v>
      </c>
      <c r="D333" s="1" t="s">
        <v>1642</v>
      </c>
      <c r="E333" s="1" t="s">
        <v>32</v>
      </c>
      <c r="F333" s="1" t="s">
        <v>124</v>
      </c>
      <c r="G333" s="1" t="s">
        <v>32</v>
      </c>
      <c r="H333" s="1" t="s">
        <v>48</v>
      </c>
      <c r="I333" s="1" t="s">
        <v>32</v>
      </c>
      <c r="J333" s="1" t="s">
        <v>41</v>
      </c>
      <c r="K333" s="1" t="s">
        <v>94</v>
      </c>
      <c r="L333">
        <v>1</v>
      </c>
      <c r="M333">
        <v>1</v>
      </c>
      <c r="N333">
        <v>0</v>
      </c>
      <c r="O333">
        <v>3</v>
      </c>
      <c r="P333">
        <v>2</v>
      </c>
      <c r="Q333">
        <v>0</v>
      </c>
      <c r="R333">
        <v>0</v>
      </c>
      <c r="S333">
        <v>1</v>
      </c>
      <c r="T333">
        <v>1</v>
      </c>
      <c r="U333" s="1" t="s">
        <v>95</v>
      </c>
      <c r="V333" s="1" t="s">
        <v>96</v>
      </c>
      <c r="W333" s="1">
        <f t="shared" si="5"/>
        <v>229.39</v>
      </c>
      <c r="X333" s="1" t="s">
        <v>97</v>
      </c>
      <c r="Y333">
        <v>1</v>
      </c>
      <c r="Z333">
        <v>1</v>
      </c>
      <c r="AA333">
        <v>63</v>
      </c>
    </row>
    <row r="334" spans="1:27" x14ac:dyDescent="0.3">
      <c r="A334" s="1" t="s">
        <v>1643</v>
      </c>
      <c r="B334">
        <v>333</v>
      </c>
      <c r="C334" s="1" t="s">
        <v>1644</v>
      </c>
      <c r="D334" s="1" t="s">
        <v>261</v>
      </c>
      <c r="E334" s="1" t="s">
        <v>29</v>
      </c>
      <c r="F334" s="1" t="s">
        <v>261</v>
      </c>
      <c r="G334" s="1" t="s">
        <v>132</v>
      </c>
      <c r="H334" s="1" t="s">
        <v>55</v>
      </c>
      <c r="I334" s="1" t="s">
        <v>32</v>
      </c>
      <c r="J334" s="1" t="s">
        <v>32</v>
      </c>
      <c r="K334" s="1" t="s">
        <v>103</v>
      </c>
      <c r="L334">
        <v>2</v>
      </c>
      <c r="M334">
        <v>0</v>
      </c>
      <c r="N334">
        <v>0</v>
      </c>
      <c r="O334">
        <v>4</v>
      </c>
      <c r="P334">
        <v>2</v>
      </c>
      <c r="Q334">
        <v>0</v>
      </c>
      <c r="R334">
        <v>0</v>
      </c>
      <c r="S334">
        <v>1</v>
      </c>
      <c r="T334">
        <v>1</v>
      </c>
      <c r="U334" s="1" t="s">
        <v>103</v>
      </c>
      <c r="V334" s="1" t="s">
        <v>104</v>
      </c>
      <c r="W334" s="1">
        <f t="shared" si="5"/>
        <v>76.84</v>
      </c>
      <c r="X334" s="1" t="s">
        <v>105</v>
      </c>
      <c r="Y334">
        <v>1</v>
      </c>
      <c r="Z334">
        <v>1</v>
      </c>
      <c r="AA334">
        <v>64</v>
      </c>
    </row>
    <row r="335" spans="1:27" x14ac:dyDescent="0.3">
      <c r="A335" s="1" t="s">
        <v>1645</v>
      </c>
      <c r="B335">
        <v>334</v>
      </c>
      <c r="C335" s="1" t="s">
        <v>1646</v>
      </c>
      <c r="D335" s="1" t="s">
        <v>1647</v>
      </c>
      <c r="E335" s="1" t="s">
        <v>39</v>
      </c>
      <c r="F335" s="1" t="s">
        <v>267</v>
      </c>
      <c r="G335" s="1" t="s">
        <v>141</v>
      </c>
      <c r="H335" s="1" t="s">
        <v>63</v>
      </c>
      <c r="I335" s="1" t="s">
        <v>32</v>
      </c>
      <c r="J335" s="1" t="s">
        <v>74</v>
      </c>
      <c r="K335" s="1" t="s">
        <v>1648</v>
      </c>
      <c r="L335">
        <v>2</v>
      </c>
      <c r="M335">
        <v>0</v>
      </c>
      <c r="N335">
        <v>0</v>
      </c>
      <c r="O335">
        <v>5</v>
      </c>
      <c r="P335">
        <v>2</v>
      </c>
      <c r="Q335">
        <v>0</v>
      </c>
      <c r="R335">
        <v>0</v>
      </c>
      <c r="S335">
        <v>1</v>
      </c>
      <c r="T335">
        <v>1</v>
      </c>
      <c r="U335" s="1" t="s">
        <v>1649</v>
      </c>
      <c r="V335" s="1" t="s">
        <v>1335</v>
      </c>
      <c r="W335" s="1">
        <f t="shared" si="5"/>
        <v>78.649999999999906</v>
      </c>
      <c r="X335" s="1" t="s">
        <v>204</v>
      </c>
      <c r="Y335">
        <v>1</v>
      </c>
      <c r="Z335">
        <v>1</v>
      </c>
      <c r="AA335">
        <v>65</v>
      </c>
    </row>
    <row r="336" spans="1:27" x14ac:dyDescent="0.3">
      <c r="A336" s="1" t="s">
        <v>1650</v>
      </c>
      <c r="B336">
        <v>335</v>
      </c>
      <c r="C336" s="1" t="s">
        <v>1651</v>
      </c>
      <c r="D336" s="1" t="s">
        <v>1652</v>
      </c>
      <c r="E336" s="1" t="s">
        <v>41</v>
      </c>
      <c r="F336" s="1" t="s">
        <v>273</v>
      </c>
      <c r="G336" s="1" t="s">
        <v>150</v>
      </c>
      <c r="H336" s="1" t="s">
        <v>74</v>
      </c>
      <c r="I336" s="1" t="s">
        <v>32</v>
      </c>
      <c r="J336" s="1" t="s">
        <v>29</v>
      </c>
      <c r="K336" s="1" t="s">
        <v>1653</v>
      </c>
      <c r="L336">
        <v>2</v>
      </c>
      <c r="M336">
        <v>0</v>
      </c>
      <c r="N336">
        <v>0</v>
      </c>
      <c r="O336">
        <v>6</v>
      </c>
      <c r="P336">
        <v>2</v>
      </c>
      <c r="Q336">
        <v>0</v>
      </c>
      <c r="R336">
        <v>0</v>
      </c>
      <c r="S336">
        <v>1</v>
      </c>
      <c r="T336">
        <v>1</v>
      </c>
      <c r="U336" s="1" t="s">
        <v>1654</v>
      </c>
      <c r="V336" s="1" t="s">
        <v>1027</v>
      </c>
      <c r="W336" s="1">
        <f t="shared" si="5"/>
        <v>268.49</v>
      </c>
      <c r="X336" s="1" t="s">
        <v>1655</v>
      </c>
      <c r="Y336">
        <v>1</v>
      </c>
      <c r="Z336">
        <v>1</v>
      </c>
      <c r="AA336">
        <v>66</v>
      </c>
    </row>
    <row r="337" spans="1:27" x14ac:dyDescent="0.3">
      <c r="A337" s="1" t="s">
        <v>1656</v>
      </c>
      <c r="B337">
        <v>336</v>
      </c>
      <c r="C337" s="1" t="s">
        <v>1657</v>
      </c>
      <c r="D337" s="1" t="s">
        <v>1658</v>
      </c>
      <c r="E337" s="1" t="s">
        <v>32</v>
      </c>
      <c r="F337" s="1" t="s">
        <v>279</v>
      </c>
      <c r="G337" s="1" t="s">
        <v>158</v>
      </c>
      <c r="H337" s="1" t="s">
        <v>29</v>
      </c>
      <c r="I337" s="1" t="s">
        <v>32</v>
      </c>
      <c r="J337" s="1" t="s">
        <v>75</v>
      </c>
      <c r="K337" s="1" t="s">
        <v>126</v>
      </c>
      <c r="L337">
        <v>3</v>
      </c>
      <c r="M337">
        <v>2</v>
      </c>
      <c r="N337">
        <v>1</v>
      </c>
      <c r="O337">
        <v>1</v>
      </c>
      <c r="P337">
        <v>6</v>
      </c>
      <c r="Q337">
        <v>0</v>
      </c>
      <c r="R337">
        <v>0</v>
      </c>
      <c r="S337">
        <v>1</v>
      </c>
      <c r="T337">
        <v>1</v>
      </c>
      <c r="U337" s="1" t="s">
        <v>126</v>
      </c>
      <c r="V337" s="1" t="s">
        <v>127</v>
      </c>
      <c r="W337" s="1">
        <f t="shared" si="5"/>
        <v>47.46</v>
      </c>
      <c r="X337" s="1" t="s">
        <v>128</v>
      </c>
      <c r="Y337">
        <v>1</v>
      </c>
      <c r="Z337">
        <v>1</v>
      </c>
      <c r="AA337">
        <v>67</v>
      </c>
    </row>
    <row r="338" spans="1:27" x14ac:dyDescent="0.3">
      <c r="A338" s="1" t="s">
        <v>1659</v>
      </c>
      <c r="B338">
        <v>337</v>
      </c>
      <c r="C338" s="1" t="s">
        <v>1660</v>
      </c>
      <c r="D338" s="1" t="s">
        <v>1661</v>
      </c>
      <c r="E338" s="1" t="s">
        <v>29</v>
      </c>
      <c r="F338" s="1" t="s">
        <v>164</v>
      </c>
      <c r="G338" s="1" t="s">
        <v>166</v>
      </c>
      <c r="H338" s="1" t="s">
        <v>32</v>
      </c>
      <c r="I338" s="1" t="s">
        <v>32</v>
      </c>
      <c r="J338" s="1" t="s">
        <v>41</v>
      </c>
      <c r="K338" s="1" t="s">
        <v>286</v>
      </c>
      <c r="L338">
        <v>3</v>
      </c>
      <c r="M338">
        <v>0</v>
      </c>
      <c r="N338">
        <v>0</v>
      </c>
      <c r="O338">
        <v>2</v>
      </c>
      <c r="P338">
        <v>3</v>
      </c>
      <c r="Q338">
        <v>0</v>
      </c>
      <c r="R338">
        <v>0</v>
      </c>
      <c r="S338">
        <v>1</v>
      </c>
      <c r="T338">
        <v>1</v>
      </c>
      <c r="U338" s="1" t="s">
        <v>287</v>
      </c>
      <c r="V338" s="1" t="s">
        <v>288</v>
      </c>
      <c r="W338" s="1">
        <f t="shared" si="5"/>
        <v>301.70999999999998</v>
      </c>
      <c r="X338" s="1" t="s">
        <v>289</v>
      </c>
      <c r="Y338">
        <v>1</v>
      </c>
      <c r="Z338">
        <v>1</v>
      </c>
      <c r="AA338">
        <v>68</v>
      </c>
    </row>
    <row r="339" spans="1:27" x14ac:dyDescent="0.3">
      <c r="A339" s="1" t="s">
        <v>1662</v>
      </c>
      <c r="B339">
        <v>338</v>
      </c>
      <c r="C339" s="1" t="s">
        <v>1663</v>
      </c>
      <c r="D339" s="1" t="s">
        <v>1664</v>
      </c>
      <c r="E339" s="1" t="s">
        <v>39</v>
      </c>
      <c r="F339" s="1" t="s">
        <v>173</v>
      </c>
      <c r="G339" s="1" t="s">
        <v>175</v>
      </c>
      <c r="H339" s="1" t="s">
        <v>41</v>
      </c>
      <c r="I339" s="1" t="s">
        <v>32</v>
      </c>
      <c r="J339" s="1" t="s">
        <v>32</v>
      </c>
      <c r="K339" s="1" t="s">
        <v>142</v>
      </c>
      <c r="L339">
        <v>3</v>
      </c>
      <c r="M339">
        <v>0</v>
      </c>
      <c r="N339">
        <v>0</v>
      </c>
      <c r="O339">
        <v>3</v>
      </c>
      <c r="P339">
        <v>3</v>
      </c>
      <c r="Q339">
        <v>0</v>
      </c>
      <c r="R339">
        <v>0</v>
      </c>
      <c r="S339">
        <v>1</v>
      </c>
      <c r="T339">
        <v>1</v>
      </c>
      <c r="U339" s="1" t="s">
        <v>143</v>
      </c>
      <c r="V339" s="1" t="s">
        <v>144</v>
      </c>
      <c r="W339" s="1">
        <f t="shared" si="5"/>
        <v>202.26999999999899</v>
      </c>
      <c r="X339" s="1" t="s">
        <v>145</v>
      </c>
      <c r="Y339">
        <v>1</v>
      </c>
      <c r="Z339">
        <v>1</v>
      </c>
      <c r="AA339">
        <v>69</v>
      </c>
    </row>
    <row r="340" spans="1:27" x14ac:dyDescent="0.3">
      <c r="A340" s="1" t="s">
        <v>1665</v>
      </c>
      <c r="B340">
        <v>339</v>
      </c>
      <c r="C340" s="1" t="s">
        <v>1666</v>
      </c>
      <c r="D340" s="1" t="s">
        <v>1667</v>
      </c>
      <c r="E340" s="1" t="s">
        <v>41</v>
      </c>
      <c r="F340" s="1" t="s">
        <v>296</v>
      </c>
      <c r="G340" s="1" t="s">
        <v>181</v>
      </c>
      <c r="H340" s="1" t="s">
        <v>48</v>
      </c>
      <c r="I340" s="1" t="s">
        <v>32</v>
      </c>
      <c r="J340" s="1" t="s">
        <v>74</v>
      </c>
      <c r="K340" s="1" t="s">
        <v>297</v>
      </c>
      <c r="L340">
        <v>3</v>
      </c>
      <c r="M340">
        <v>0</v>
      </c>
      <c r="N340">
        <v>0</v>
      </c>
      <c r="O340">
        <v>4</v>
      </c>
      <c r="P340">
        <v>3</v>
      </c>
      <c r="Q340">
        <v>0</v>
      </c>
      <c r="R340">
        <v>0</v>
      </c>
      <c r="S340">
        <v>1</v>
      </c>
      <c r="T340">
        <v>1</v>
      </c>
      <c r="U340" s="1" t="s">
        <v>297</v>
      </c>
      <c r="V340" s="1" t="s">
        <v>152</v>
      </c>
      <c r="W340" s="1">
        <f t="shared" si="5"/>
        <v>63.28</v>
      </c>
      <c r="X340" s="1" t="s">
        <v>49</v>
      </c>
      <c r="Y340">
        <v>1</v>
      </c>
      <c r="Z340">
        <v>1</v>
      </c>
      <c r="AA340">
        <v>70</v>
      </c>
    </row>
    <row r="341" spans="1:27" x14ac:dyDescent="0.3">
      <c r="A341" s="1" t="s">
        <v>1668</v>
      </c>
      <c r="B341">
        <v>340</v>
      </c>
      <c r="C341" s="1" t="s">
        <v>1669</v>
      </c>
      <c r="D341" s="1" t="s">
        <v>1670</v>
      </c>
      <c r="E341" s="1" t="s">
        <v>32</v>
      </c>
      <c r="F341" s="1" t="s">
        <v>300</v>
      </c>
      <c r="G341" s="1" t="s">
        <v>189</v>
      </c>
      <c r="H341" s="1" t="s">
        <v>55</v>
      </c>
      <c r="I341" s="1" t="s">
        <v>32</v>
      </c>
      <c r="J341" s="1" t="s">
        <v>29</v>
      </c>
      <c r="K341" s="1" t="s">
        <v>1671</v>
      </c>
      <c r="L341">
        <v>1</v>
      </c>
      <c r="M341">
        <v>1</v>
      </c>
      <c r="N341">
        <v>0</v>
      </c>
      <c r="O341">
        <v>5</v>
      </c>
      <c r="P341">
        <v>2</v>
      </c>
      <c r="Q341">
        <v>0</v>
      </c>
      <c r="R341">
        <v>0</v>
      </c>
      <c r="S341">
        <v>1</v>
      </c>
      <c r="T341">
        <v>1</v>
      </c>
      <c r="U341" s="1" t="s">
        <v>1672</v>
      </c>
      <c r="V341" s="1" t="s">
        <v>161</v>
      </c>
      <c r="W341" s="1">
        <f t="shared" si="5"/>
        <v>66.67</v>
      </c>
      <c r="X341" s="1" t="s">
        <v>1673</v>
      </c>
      <c r="Y341">
        <v>1</v>
      </c>
      <c r="Z341">
        <v>1</v>
      </c>
      <c r="AA341">
        <v>71</v>
      </c>
    </row>
    <row r="342" spans="1:27" x14ac:dyDescent="0.3">
      <c r="A342" s="1" t="s">
        <v>1674</v>
      </c>
      <c r="B342">
        <v>341</v>
      </c>
      <c r="C342" s="1" t="s">
        <v>1675</v>
      </c>
      <c r="D342" s="1" t="s">
        <v>309</v>
      </c>
      <c r="E342" s="1" t="s">
        <v>29</v>
      </c>
      <c r="F342" s="1" t="s">
        <v>309</v>
      </c>
      <c r="G342" s="1" t="s">
        <v>196</v>
      </c>
      <c r="H342" s="1" t="s">
        <v>63</v>
      </c>
      <c r="I342" s="1" t="s">
        <v>33</v>
      </c>
      <c r="J342" s="1" t="s">
        <v>33</v>
      </c>
      <c r="K342" s="1" t="s">
        <v>34</v>
      </c>
      <c r="L342">
        <v>1</v>
      </c>
      <c r="M342">
        <v>0</v>
      </c>
      <c r="N342">
        <v>0</v>
      </c>
      <c r="O342">
        <v>6</v>
      </c>
      <c r="P342">
        <v>1</v>
      </c>
      <c r="Q342">
        <v>1</v>
      </c>
      <c r="R342">
        <v>0</v>
      </c>
      <c r="S342">
        <v>0</v>
      </c>
      <c r="T342">
        <v>0</v>
      </c>
      <c r="U342" s="1" t="s">
        <v>170</v>
      </c>
      <c r="V342" s="1">
        <v>0</v>
      </c>
      <c r="W342" s="1">
        <f t="shared" si="5"/>
        <v>0</v>
      </c>
      <c r="X342" s="1" t="s">
        <v>170</v>
      </c>
      <c r="Y342">
        <v>1</v>
      </c>
      <c r="Z342">
        <v>0</v>
      </c>
      <c r="AA342">
        <v>72</v>
      </c>
    </row>
    <row r="343" spans="1:27" x14ac:dyDescent="0.3">
      <c r="A343" s="1" t="s">
        <v>1676</v>
      </c>
      <c r="B343">
        <v>342</v>
      </c>
      <c r="C343" s="1" t="s">
        <v>1677</v>
      </c>
      <c r="D343" s="1" t="s">
        <v>1678</v>
      </c>
      <c r="E343" s="1" t="s">
        <v>39</v>
      </c>
      <c r="F343" s="1" t="s">
        <v>201</v>
      </c>
      <c r="G343" s="1" t="s">
        <v>203</v>
      </c>
      <c r="H343" s="1" t="s">
        <v>74</v>
      </c>
      <c r="I343" s="1" t="s">
        <v>33</v>
      </c>
      <c r="J343" s="1" t="s">
        <v>33</v>
      </c>
      <c r="K343" s="1" t="s">
        <v>34</v>
      </c>
      <c r="L343">
        <v>1</v>
      </c>
      <c r="M343">
        <v>2</v>
      </c>
      <c r="N343">
        <v>0</v>
      </c>
      <c r="O343">
        <v>1</v>
      </c>
      <c r="P343">
        <v>3</v>
      </c>
      <c r="Q343">
        <v>1</v>
      </c>
      <c r="R343">
        <v>0</v>
      </c>
      <c r="S343">
        <v>0</v>
      </c>
      <c r="T343">
        <v>0</v>
      </c>
      <c r="U343" s="1" t="s">
        <v>1001</v>
      </c>
      <c r="V343" s="1">
        <v>0</v>
      </c>
      <c r="W343" s="1">
        <f t="shared" si="5"/>
        <v>0</v>
      </c>
      <c r="X343" s="1" t="s">
        <v>1001</v>
      </c>
      <c r="Y343">
        <v>1</v>
      </c>
      <c r="Z343">
        <v>0</v>
      </c>
      <c r="AA343">
        <v>73</v>
      </c>
    </row>
    <row r="344" spans="1:27" x14ac:dyDescent="0.3">
      <c r="A344" s="1" t="s">
        <v>1679</v>
      </c>
      <c r="B344">
        <v>343</v>
      </c>
      <c r="C344" s="1" t="s">
        <v>1680</v>
      </c>
      <c r="D344" s="1" t="s">
        <v>208</v>
      </c>
      <c r="E344" s="1" t="s">
        <v>41</v>
      </c>
      <c r="F344" s="1" t="s">
        <v>208</v>
      </c>
      <c r="G344" s="1" t="s">
        <v>208</v>
      </c>
      <c r="H344" s="1" t="s">
        <v>29</v>
      </c>
      <c r="I344" s="1" t="s">
        <v>33</v>
      </c>
      <c r="J344" s="1" t="s">
        <v>33</v>
      </c>
      <c r="K344" s="1" t="s">
        <v>34</v>
      </c>
      <c r="L344">
        <v>2</v>
      </c>
      <c r="M344">
        <v>0</v>
      </c>
      <c r="N344">
        <v>0</v>
      </c>
      <c r="O344">
        <v>2</v>
      </c>
      <c r="P344">
        <v>2</v>
      </c>
      <c r="Q344">
        <v>1</v>
      </c>
      <c r="R344">
        <v>0</v>
      </c>
      <c r="S344">
        <v>0</v>
      </c>
      <c r="T344">
        <v>0</v>
      </c>
      <c r="U344" s="1" t="s">
        <v>1004</v>
      </c>
      <c r="V344" s="1">
        <v>0</v>
      </c>
      <c r="W344" s="1">
        <f t="shared" si="5"/>
        <v>0</v>
      </c>
      <c r="X344" s="1" t="s">
        <v>1004</v>
      </c>
      <c r="Y344">
        <v>1</v>
      </c>
      <c r="Z344">
        <v>0</v>
      </c>
      <c r="AA344">
        <v>74</v>
      </c>
    </row>
    <row r="345" spans="1:27" x14ac:dyDescent="0.3">
      <c r="A345" s="1" t="s">
        <v>1681</v>
      </c>
      <c r="B345">
        <v>344</v>
      </c>
      <c r="C345" s="1" t="s">
        <v>1682</v>
      </c>
      <c r="D345" s="1" t="s">
        <v>1683</v>
      </c>
      <c r="E345" s="1" t="s">
        <v>32</v>
      </c>
      <c r="F345" s="1" t="s">
        <v>54</v>
      </c>
      <c r="G345" s="1" t="s">
        <v>212</v>
      </c>
      <c r="H345" s="1" t="s">
        <v>32</v>
      </c>
      <c r="I345" s="1" t="s">
        <v>56</v>
      </c>
      <c r="J345" s="1" t="s">
        <v>33</v>
      </c>
      <c r="K345" s="1" t="s">
        <v>34</v>
      </c>
      <c r="L345">
        <v>2</v>
      </c>
      <c r="M345">
        <v>1</v>
      </c>
      <c r="N345">
        <v>0</v>
      </c>
      <c r="O345">
        <v>3</v>
      </c>
      <c r="P345">
        <v>3</v>
      </c>
      <c r="Q345">
        <v>0</v>
      </c>
      <c r="R345">
        <v>1</v>
      </c>
      <c r="S345">
        <v>0</v>
      </c>
      <c r="T345">
        <v>0</v>
      </c>
      <c r="U345" s="1" t="s">
        <v>1008</v>
      </c>
      <c r="V345" s="1">
        <v>0</v>
      </c>
      <c r="W345" s="1">
        <f t="shared" si="5"/>
        <v>0</v>
      </c>
      <c r="X345" s="1" t="s">
        <v>1008</v>
      </c>
      <c r="Y345">
        <v>1</v>
      </c>
      <c r="Z345">
        <v>0</v>
      </c>
      <c r="AA345">
        <v>75</v>
      </c>
    </row>
    <row r="346" spans="1:27" x14ac:dyDescent="0.3">
      <c r="A346" s="1" t="s">
        <v>1684</v>
      </c>
      <c r="B346">
        <v>345</v>
      </c>
      <c r="C346" s="1" t="s">
        <v>1685</v>
      </c>
      <c r="D346" s="1" t="s">
        <v>1686</v>
      </c>
      <c r="E346" s="1" t="s">
        <v>29</v>
      </c>
      <c r="F346" s="1" t="s">
        <v>62</v>
      </c>
      <c r="G346" s="1" t="s">
        <v>216</v>
      </c>
      <c r="H346" s="1" t="s">
        <v>41</v>
      </c>
      <c r="I346" s="1" t="s">
        <v>64</v>
      </c>
      <c r="J346" s="1" t="s">
        <v>41</v>
      </c>
      <c r="K346" s="1" t="s">
        <v>1013</v>
      </c>
      <c r="L346">
        <v>2</v>
      </c>
      <c r="M346">
        <v>0</v>
      </c>
      <c r="N346">
        <v>0</v>
      </c>
      <c r="O346">
        <v>4</v>
      </c>
      <c r="P346">
        <v>2</v>
      </c>
      <c r="Q346">
        <v>0</v>
      </c>
      <c r="R346">
        <v>0</v>
      </c>
      <c r="S346">
        <v>0</v>
      </c>
      <c r="T346">
        <v>0</v>
      </c>
      <c r="U346" s="1" t="s">
        <v>1014</v>
      </c>
      <c r="V346" s="1" t="s">
        <v>104</v>
      </c>
      <c r="W346" s="1">
        <f t="shared" si="5"/>
        <v>76.84</v>
      </c>
      <c r="X346" s="1" t="s">
        <v>1015</v>
      </c>
      <c r="Y346">
        <v>1</v>
      </c>
      <c r="Z346">
        <v>0</v>
      </c>
      <c r="AA346">
        <v>76</v>
      </c>
    </row>
    <row r="347" spans="1:27" x14ac:dyDescent="0.3">
      <c r="A347" s="1" t="s">
        <v>1687</v>
      </c>
      <c r="B347">
        <v>346</v>
      </c>
      <c r="C347" s="1" t="s">
        <v>1688</v>
      </c>
      <c r="D347" s="1" t="s">
        <v>1689</v>
      </c>
      <c r="E347" s="1" t="s">
        <v>39</v>
      </c>
      <c r="F347" s="1" t="s">
        <v>73</v>
      </c>
      <c r="G347" s="1" t="s">
        <v>223</v>
      </c>
      <c r="H347" s="1" t="s">
        <v>48</v>
      </c>
      <c r="I347" s="1" t="s">
        <v>64</v>
      </c>
      <c r="J347" s="1" t="s">
        <v>32</v>
      </c>
      <c r="K347" s="1" t="s">
        <v>1019</v>
      </c>
      <c r="L347">
        <v>3</v>
      </c>
      <c r="M347">
        <v>0</v>
      </c>
      <c r="N347">
        <v>0</v>
      </c>
      <c r="O347">
        <v>5</v>
      </c>
      <c r="P347">
        <v>3</v>
      </c>
      <c r="Q347">
        <v>0</v>
      </c>
      <c r="R347">
        <v>0</v>
      </c>
      <c r="S347">
        <v>0</v>
      </c>
      <c r="T347">
        <v>0</v>
      </c>
      <c r="U347" s="1" t="s">
        <v>1020</v>
      </c>
      <c r="V347" s="1" t="s">
        <v>304</v>
      </c>
      <c r="W347" s="1">
        <f t="shared" si="5"/>
        <v>64.41</v>
      </c>
      <c r="X347" s="1" t="s">
        <v>204</v>
      </c>
      <c r="Y347">
        <v>1</v>
      </c>
      <c r="Z347">
        <v>0</v>
      </c>
      <c r="AA347">
        <v>77</v>
      </c>
    </row>
    <row r="348" spans="1:27" x14ac:dyDescent="0.3">
      <c r="A348" s="1" t="s">
        <v>1690</v>
      </c>
      <c r="B348">
        <v>347</v>
      </c>
      <c r="C348" s="1" t="s">
        <v>1691</v>
      </c>
      <c r="D348" s="1" t="s">
        <v>1692</v>
      </c>
      <c r="E348" s="1" t="s">
        <v>41</v>
      </c>
      <c r="F348" s="1" t="s">
        <v>341</v>
      </c>
      <c r="G348" s="1" t="s">
        <v>230</v>
      </c>
      <c r="H348" s="1" t="s">
        <v>55</v>
      </c>
      <c r="I348" s="1" t="s">
        <v>32</v>
      </c>
      <c r="J348" s="1" t="s">
        <v>32</v>
      </c>
      <c r="K348" s="1" t="s">
        <v>118</v>
      </c>
      <c r="L348">
        <v>3</v>
      </c>
      <c r="M348">
        <v>0</v>
      </c>
      <c r="N348">
        <v>0</v>
      </c>
      <c r="O348">
        <v>6</v>
      </c>
      <c r="P348">
        <v>3</v>
      </c>
      <c r="Q348">
        <v>0</v>
      </c>
      <c r="R348">
        <v>0</v>
      </c>
      <c r="S348">
        <v>1</v>
      </c>
      <c r="T348">
        <v>1</v>
      </c>
      <c r="U348" s="1" t="s">
        <v>119</v>
      </c>
      <c r="V348" s="1" t="s">
        <v>120</v>
      </c>
      <c r="W348" s="1">
        <f t="shared" si="5"/>
        <v>249.39</v>
      </c>
      <c r="X348" s="1" t="s">
        <v>121</v>
      </c>
      <c r="Y348">
        <v>1</v>
      </c>
      <c r="Z348">
        <v>1</v>
      </c>
      <c r="AA348">
        <v>78</v>
      </c>
    </row>
    <row r="349" spans="1:27" x14ac:dyDescent="0.3">
      <c r="A349" s="1" t="s">
        <v>1693</v>
      </c>
      <c r="B349">
        <v>348</v>
      </c>
      <c r="C349" s="1" t="s">
        <v>1694</v>
      </c>
      <c r="D349" s="1" t="s">
        <v>1695</v>
      </c>
      <c r="E349" s="1" t="s">
        <v>32</v>
      </c>
      <c r="F349" s="1" t="s">
        <v>350</v>
      </c>
      <c r="G349" s="1" t="s">
        <v>238</v>
      </c>
      <c r="H349" s="1" t="s">
        <v>63</v>
      </c>
      <c r="I349" s="1" t="s">
        <v>32</v>
      </c>
      <c r="J349" s="1" t="s">
        <v>74</v>
      </c>
      <c r="K349" s="1" t="s">
        <v>126</v>
      </c>
      <c r="L349">
        <v>3</v>
      </c>
      <c r="M349">
        <v>2</v>
      </c>
      <c r="N349">
        <v>1</v>
      </c>
      <c r="O349">
        <v>1</v>
      </c>
      <c r="P349">
        <v>6</v>
      </c>
      <c r="Q349">
        <v>0</v>
      </c>
      <c r="R349">
        <v>0</v>
      </c>
      <c r="S349">
        <v>1</v>
      </c>
      <c r="T349">
        <v>1</v>
      </c>
      <c r="U349" s="1" t="s">
        <v>126</v>
      </c>
      <c r="V349" s="1" t="s">
        <v>127</v>
      </c>
      <c r="W349" s="1">
        <f t="shared" si="5"/>
        <v>47.46</v>
      </c>
      <c r="X349" s="1" t="s">
        <v>128</v>
      </c>
      <c r="Y349">
        <v>1</v>
      </c>
      <c r="Z349">
        <v>1</v>
      </c>
      <c r="AA349">
        <v>79</v>
      </c>
    </row>
    <row r="350" spans="1:27" x14ac:dyDescent="0.3">
      <c r="A350" s="1" t="s">
        <v>1696</v>
      </c>
      <c r="B350">
        <v>349</v>
      </c>
      <c r="C350" s="1" t="s">
        <v>1697</v>
      </c>
      <c r="D350" s="1" t="s">
        <v>1698</v>
      </c>
      <c r="E350" s="1" t="s">
        <v>29</v>
      </c>
      <c r="F350" s="1" t="s">
        <v>357</v>
      </c>
      <c r="G350" s="1" t="s">
        <v>242</v>
      </c>
      <c r="H350" s="1" t="s">
        <v>74</v>
      </c>
      <c r="I350" s="1" t="s">
        <v>32</v>
      </c>
      <c r="J350" s="1" t="s">
        <v>29</v>
      </c>
      <c r="K350" s="1" t="s">
        <v>133</v>
      </c>
      <c r="L350">
        <v>3</v>
      </c>
      <c r="M350">
        <v>0</v>
      </c>
      <c r="N350">
        <v>0</v>
      </c>
      <c r="O350">
        <v>2</v>
      </c>
      <c r="P350">
        <v>3</v>
      </c>
      <c r="Q350">
        <v>0</v>
      </c>
      <c r="R350">
        <v>0</v>
      </c>
      <c r="S350">
        <v>1</v>
      </c>
      <c r="T350">
        <v>1</v>
      </c>
      <c r="U350" s="1" t="s">
        <v>134</v>
      </c>
      <c r="V350" s="1" t="s">
        <v>135</v>
      </c>
      <c r="W350" s="1">
        <f t="shared" si="5"/>
        <v>281.02999999999997</v>
      </c>
      <c r="X350" s="1" t="s">
        <v>136</v>
      </c>
      <c r="Y350">
        <v>1</v>
      </c>
      <c r="Z350">
        <v>1</v>
      </c>
      <c r="AA350">
        <v>80</v>
      </c>
    </row>
    <row r="351" spans="1:27" x14ac:dyDescent="0.3">
      <c r="A351" s="1" t="s">
        <v>1699</v>
      </c>
      <c r="B351">
        <v>350</v>
      </c>
      <c r="C351" s="1" t="s">
        <v>1700</v>
      </c>
      <c r="D351" s="1" t="s">
        <v>75</v>
      </c>
      <c r="E351" s="1" t="s">
        <v>39</v>
      </c>
      <c r="F351" s="1" t="s">
        <v>75</v>
      </c>
      <c r="G351" s="1" t="s">
        <v>75</v>
      </c>
      <c r="H351" s="1" t="s">
        <v>29</v>
      </c>
      <c r="I351" s="1" t="s">
        <v>32</v>
      </c>
      <c r="J351" s="1" t="s">
        <v>75</v>
      </c>
      <c r="K351" s="1" t="s">
        <v>1037</v>
      </c>
      <c r="L351">
        <v>1</v>
      </c>
      <c r="M351">
        <v>0</v>
      </c>
      <c r="N351">
        <v>0</v>
      </c>
      <c r="O351">
        <v>3</v>
      </c>
      <c r="P351">
        <v>1</v>
      </c>
      <c r="Q351">
        <v>0</v>
      </c>
      <c r="R351">
        <v>0</v>
      </c>
      <c r="S351">
        <v>1</v>
      </c>
      <c r="T351">
        <v>1</v>
      </c>
      <c r="U351" s="1" t="s">
        <v>1038</v>
      </c>
      <c r="V351" s="1" t="s">
        <v>144</v>
      </c>
      <c r="W351" s="1">
        <f t="shared" si="5"/>
        <v>202.26999999999899</v>
      </c>
      <c r="X351" s="1" t="s">
        <v>1039</v>
      </c>
      <c r="Y351">
        <v>1</v>
      </c>
      <c r="Z351">
        <v>1</v>
      </c>
      <c r="AA351">
        <v>81</v>
      </c>
    </row>
    <row r="352" spans="1:27" x14ac:dyDescent="0.3">
      <c r="A352" s="1" t="s">
        <v>1701</v>
      </c>
      <c r="B352">
        <v>351</v>
      </c>
      <c r="C352" s="1" t="s">
        <v>1702</v>
      </c>
      <c r="D352" s="1" t="s">
        <v>251</v>
      </c>
      <c r="E352" s="1" t="s">
        <v>41</v>
      </c>
      <c r="F352" s="1" t="s">
        <v>41</v>
      </c>
      <c r="G352" s="1" t="s">
        <v>251</v>
      </c>
      <c r="H352" s="1" t="s">
        <v>32</v>
      </c>
      <c r="I352" s="1" t="s">
        <v>32</v>
      </c>
      <c r="J352" s="1" t="s">
        <v>41</v>
      </c>
      <c r="K352" s="1" t="s">
        <v>263</v>
      </c>
      <c r="L352">
        <v>1</v>
      </c>
      <c r="M352">
        <v>0</v>
      </c>
      <c r="N352">
        <v>0</v>
      </c>
      <c r="O352">
        <v>4</v>
      </c>
      <c r="P352">
        <v>1</v>
      </c>
      <c r="Q352">
        <v>0</v>
      </c>
      <c r="R352">
        <v>0</v>
      </c>
      <c r="S352">
        <v>1</v>
      </c>
      <c r="T352">
        <v>1</v>
      </c>
      <c r="U352" s="1" t="s">
        <v>263</v>
      </c>
      <c r="V352" s="1" t="s">
        <v>152</v>
      </c>
      <c r="W352" s="1">
        <f t="shared" si="5"/>
        <v>63.28</v>
      </c>
      <c r="X352" s="1" t="s">
        <v>233</v>
      </c>
      <c r="Y352">
        <v>1</v>
      </c>
      <c r="Z352">
        <v>1</v>
      </c>
      <c r="AA352">
        <v>82</v>
      </c>
    </row>
    <row r="353" spans="1:27" x14ac:dyDescent="0.3">
      <c r="A353" s="1" t="s">
        <v>1703</v>
      </c>
      <c r="B353">
        <v>352</v>
      </c>
      <c r="C353" s="1" t="s">
        <v>1704</v>
      </c>
      <c r="D353" s="1" t="s">
        <v>1705</v>
      </c>
      <c r="E353" s="1" t="s">
        <v>32</v>
      </c>
      <c r="F353" s="1" t="s">
        <v>32</v>
      </c>
      <c r="G353" s="1" t="s">
        <v>254</v>
      </c>
      <c r="H353" s="1" t="s">
        <v>41</v>
      </c>
      <c r="I353" s="1" t="s">
        <v>32</v>
      </c>
      <c r="J353" s="1" t="s">
        <v>32</v>
      </c>
      <c r="K353" s="1" t="s">
        <v>159</v>
      </c>
      <c r="L353">
        <v>1</v>
      </c>
      <c r="M353">
        <v>1</v>
      </c>
      <c r="N353">
        <v>0</v>
      </c>
      <c r="O353">
        <v>5</v>
      </c>
      <c r="P353">
        <v>2</v>
      </c>
      <c r="Q353">
        <v>0</v>
      </c>
      <c r="R353">
        <v>0</v>
      </c>
      <c r="S353">
        <v>1</v>
      </c>
      <c r="T353">
        <v>1</v>
      </c>
      <c r="U353" s="1" t="s">
        <v>160</v>
      </c>
      <c r="V353" s="1" t="s">
        <v>161</v>
      </c>
      <c r="W353" s="1">
        <f t="shared" si="5"/>
        <v>66.67</v>
      </c>
      <c r="X353" s="1" t="s">
        <v>57</v>
      </c>
      <c r="Y353">
        <v>1</v>
      </c>
      <c r="Z353">
        <v>1</v>
      </c>
      <c r="AA353">
        <v>83</v>
      </c>
    </row>
    <row r="354" spans="1:27" x14ac:dyDescent="0.3">
      <c r="A354" s="1" t="s">
        <v>1706</v>
      </c>
      <c r="B354">
        <v>353</v>
      </c>
      <c r="C354" s="1" t="s">
        <v>1707</v>
      </c>
      <c r="D354" s="1" t="s">
        <v>262</v>
      </c>
      <c r="E354" s="1" t="s">
        <v>29</v>
      </c>
      <c r="F354" s="1" t="s">
        <v>262</v>
      </c>
      <c r="G354" s="1" t="s">
        <v>262</v>
      </c>
      <c r="H354" s="1" t="s">
        <v>48</v>
      </c>
      <c r="I354" s="1" t="s">
        <v>32</v>
      </c>
      <c r="J354" s="1" t="s">
        <v>74</v>
      </c>
      <c r="K354" s="1" t="s">
        <v>167</v>
      </c>
      <c r="L354">
        <v>2</v>
      </c>
      <c r="M354">
        <v>0</v>
      </c>
      <c r="N354">
        <v>0</v>
      </c>
      <c r="O354">
        <v>6</v>
      </c>
      <c r="P354">
        <v>2</v>
      </c>
      <c r="Q354">
        <v>0</v>
      </c>
      <c r="R354">
        <v>0</v>
      </c>
      <c r="S354">
        <v>1</v>
      </c>
      <c r="T354">
        <v>1</v>
      </c>
      <c r="U354" s="1" t="s">
        <v>168</v>
      </c>
      <c r="V354" s="1" t="s">
        <v>169</v>
      </c>
      <c r="W354" s="1">
        <f t="shared" si="5"/>
        <v>270.07</v>
      </c>
      <c r="X354" s="1" t="s">
        <v>170</v>
      </c>
      <c r="Y354">
        <v>1</v>
      </c>
      <c r="Z354">
        <v>1</v>
      </c>
      <c r="AA354">
        <v>84</v>
      </c>
    </row>
    <row r="355" spans="1:27" x14ac:dyDescent="0.3">
      <c r="A355" s="1" t="s">
        <v>1708</v>
      </c>
      <c r="B355">
        <v>354</v>
      </c>
      <c r="C355" s="1" t="s">
        <v>1709</v>
      </c>
      <c r="D355" s="1" t="s">
        <v>1710</v>
      </c>
      <c r="E355" s="1" t="s">
        <v>39</v>
      </c>
      <c r="F355" s="1" t="s">
        <v>388</v>
      </c>
      <c r="G355" s="1" t="s">
        <v>267</v>
      </c>
      <c r="H355" s="1" t="s">
        <v>55</v>
      </c>
      <c r="I355" s="1" t="s">
        <v>32</v>
      </c>
      <c r="J355" s="1" t="s">
        <v>29</v>
      </c>
      <c r="K355" s="1" t="s">
        <v>1096</v>
      </c>
      <c r="L355">
        <v>2</v>
      </c>
      <c r="M355">
        <v>2</v>
      </c>
      <c r="N355">
        <v>0</v>
      </c>
      <c r="O355">
        <v>1</v>
      </c>
      <c r="P355">
        <v>4</v>
      </c>
      <c r="Q355">
        <v>0</v>
      </c>
      <c r="R355">
        <v>0</v>
      </c>
      <c r="S355">
        <v>1</v>
      </c>
      <c r="T355">
        <v>1</v>
      </c>
      <c r="U355" s="1" t="s">
        <v>1096</v>
      </c>
      <c r="V355" s="1" t="s">
        <v>177</v>
      </c>
      <c r="W355" s="1">
        <f t="shared" si="5"/>
        <v>61.02</v>
      </c>
      <c r="X355" s="1" t="s">
        <v>1097</v>
      </c>
      <c r="Y355">
        <v>1</v>
      </c>
      <c r="Z355">
        <v>1</v>
      </c>
      <c r="AA355">
        <v>85</v>
      </c>
    </row>
    <row r="356" spans="1:27" x14ac:dyDescent="0.3">
      <c r="A356" s="1" t="s">
        <v>1711</v>
      </c>
      <c r="B356">
        <v>355</v>
      </c>
      <c r="C356" s="1" t="s">
        <v>1712</v>
      </c>
      <c r="D356" s="1" t="s">
        <v>394</v>
      </c>
      <c r="E356" s="1" t="s">
        <v>41</v>
      </c>
      <c r="F356" s="1" t="s">
        <v>394</v>
      </c>
      <c r="G356" s="1" t="s">
        <v>273</v>
      </c>
      <c r="H356" s="1" t="s">
        <v>63</v>
      </c>
      <c r="I356" s="1" t="s">
        <v>32</v>
      </c>
      <c r="J356" s="1" t="s">
        <v>75</v>
      </c>
      <c r="K356" s="1" t="s">
        <v>1713</v>
      </c>
      <c r="L356">
        <v>2</v>
      </c>
      <c r="M356">
        <v>0</v>
      </c>
      <c r="N356">
        <v>0</v>
      </c>
      <c r="O356">
        <v>2</v>
      </c>
      <c r="P356">
        <v>2</v>
      </c>
      <c r="Q356">
        <v>0</v>
      </c>
      <c r="R356">
        <v>0</v>
      </c>
      <c r="S356">
        <v>1</v>
      </c>
      <c r="T356">
        <v>1</v>
      </c>
      <c r="U356" s="1" t="s">
        <v>1714</v>
      </c>
      <c r="V356" s="1" t="s">
        <v>184</v>
      </c>
      <c r="W356" s="1">
        <f t="shared" si="5"/>
        <v>265.77999999999997</v>
      </c>
      <c r="X356" s="1" t="s">
        <v>1059</v>
      </c>
      <c r="Y356">
        <v>1</v>
      </c>
      <c r="Z356">
        <v>1</v>
      </c>
      <c r="AA356">
        <v>86</v>
      </c>
    </row>
    <row r="357" spans="1:27" x14ac:dyDescent="0.3">
      <c r="A357" s="1" t="s">
        <v>1715</v>
      </c>
      <c r="B357">
        <v>356</v>
      </c>
      <c r="C357" s="1" t="s">
        <v>1716</v>
      </c>
      <c r="D357" s="1" t="s">
        <v>402</v>
      </c>
      <c r="E357" s="1" t="s">
        <v>32</v>
      </c>
      <c r="F357" s="1" t="s">
        <v>402</v>
      </c>
      <c r="G357" s="1" t="s">
        <v>280</v>
      </c>
      <c r="H357" s="1" t="s">
        <v>74</v>
      </c>
      <c r="I357" s="1" t="s">
        <v>32</v>
      </c>
      <c r="J357" s="1" t="s">
        <v>41</v>
      </c>
      <c r="K357" s="1" t="s">
        <v>1104</v>
      </c>
      <c r="L357">
        <v>3</v>
      </c>
      <c r="M357">
        <v>1</v>
      </c>
      <c r="N357">
        <v>0</v>
      </c>
      <c r="O357">
        <v>3</v>
      </c>
      <c r="P357">
        <v>4</v>
      </c>
      <c r="Q357">
        <v>0</v>
      </c>
      <c r="R357">
        <v>0</v>
      </c>
      <c r="S357">
        <v>1</v>
      </c>
      <c r="T357">
        <v>1</v>
      </c>
      <c r="U357" s="1" t="s">
        <v>1105</v>
      </c>
      <c r="V357" s="1" t="s">
        <v>192</v>
      </c>
      <c r="W357" s="1">
        <f t="shared" si="5"/>
        <v>220.58</v>
      </c>
      <c r="X357" s="1" t="s">
        <v>97</v>
      </c>
      <c r="Y357">
        <v>1</v>
      </c>
      <c r="Z357">
        <v>1</v>
      </c>
      <c r="AA357">
        <v>87</v>
      </c>
    </row>
    <row r="358" spans="1:27" x14ac:dyDescent="0.3">
      <c r="A358" s="1" t="s">
        <v>1717</v>
      </c>
      <c r="B358">
        <v>357</v>
      </c>
      <c r="C358" s="1" t="s">
        <v>1718</v>
      </c>
      <c r="D358" s="1" t="s">
        <v>285</v>
      </c>
      <c r="E358" s="1" t="s">
        <v>29</v>
      </c>
      <c r="F358" s="1" t="s">
        <v>408</v>
      </c>
      <c r="G358" s="1" t="s">
        <v>285</v>
      </c>
      <c r="H358" s="1" t="s">
        <v>29</v>
      </c>
      <c r="I358" s="1" t="s">
        <v>32</v>
      </c>
      <c r="J358" s="1" t="s">
        <v>32</v>
      </c>
      <c r="K358" s="1" t="s">
        <v>263</v>
      </c>
      <c r="L358">
        <v>3</v>
      </c>
      <c r="M358">
        <v>0</v>
      </c>
      <c r="N358">
        <v>0</v>
      </c>
      <c r="O358">
        <v>4</v>
      </c>
      <c r="P358">
        <v>3</v>
      </c>
      <c r="Q358">
        <v>0</v>
      </c>
      <c r="R358">
        <v>0</v>
      </c>
      <c r="S358">
        <v>1</v>
      </c>
      <c r="T358">
        <v>1</v>
      </c>
      <c r="U358" s="1" t="s">
        <v>263</v>
      </c>
      <c r="V358" s="1" t="s">
        <v>104</v>
      </c>
      <c r="W358" s="1">
        <f t="shared" si="5"/>
        <v>76.84</v>
      </c>
      <c r="X358" s="1" t="s">
        <v>264</v>
      </c>
      <c r="Y358">
        <v>1</v>
      </c>
      <c r="Z358">
        <v>1</v>
      </c>
      <c r="AA358">
        <v>88</v>
      </c>
    </row>
    <row r="359" spans="1:27" x14ac:dyDescent="0.3">
      <c r="A359" s="1" t="s">
        <v>1719</v>
      </c>
      <c r="B359">
        <v>358</v>
      </c>
      <c r="C359" s="1" t="s">
        <v>1720</v>
      </c>
      <c r="D359" s="1" t="s">
        <v>1721</v>
      </c>
      <c r="E359" s="1" t="s">
        <v>39</v>
      </c>
      <c r="F359" s="1" t="s">
        <v>175</v>
      </c>
      <c r="G359" s="1" t="s">
        <v>292</v>
      </c>
      <c r="H359" s="1" t="s">
        <v>32</v>
      </c>
      <c r="I359" s="1" t="s">
        <v>32</v>
      </c>
      <c r="J359" s="1" t="s">
        <v>74</v>
      </c>
      <c r="K359" s="1" t="s">
        <v>1068</v>
      </c>
      <c r="L359">
        <v>3</v>
      </c>
      <c r="M359">
        <v>0</v>
      </c>
      <c r="N359">
        <v>0</v>
      </c>
      <c r="O359">
        <v>5</v>
      </c>
      <c r="P359">
        <v>3</v>
      </c>
      <c r="Q359">
        <v>0</v>
      </c>
      <c r="R359">
        <v>0</v>
      </c>
      <c r="S359">
        <v>1</v>
      </c>
      <c r="T359">
        <v>1</v>
      </c>
      <c r="U359" s="1" t="s">
        <v>1069</v>
      </c>
      <c r="V359" s="1" t="s">
        <v>111</v>
      </c>
      <c r="W359" s="1">
        <f t="shared" si="5"/>
        <v>80.229999999999905</v>
      </c>
      <c r="X359" s="1" t="s">
        <v>204</v>
      </c>
      <c r="Y359">
        <v>1</v>
      </c>
      <c r="Z359">
        <v>1</v>
      </c>
      <c r="AA359">
        <v>89</v>
      </c>
    </row>
    <row r="360" spans="1:27" x14ac:dyDescent="0.3">
      <c r="A360" s="1" t="s">
        <v>1722</v>
      </c>
      <c r="B360">
        <v>359</v>
      </c>
      <c r="C360" s="1" t="s">
        <v>1723</v>
      </c>
      <c r="D360" s="1" t="s">
        <v>1724</v>
      </c>
      <c r="E360" s="1" t="s">
        <v>41</v>
      </c>
      <c r="F360" s="1" t="s">
        <v>419</v>
      </c>
      <c r="G360" s="1" t="s">
        <v>74</v>
      </c>
      <c r="H360" s="1" t="s">
        <v>41</v>
      </c>
      <c r="I360" s="1" t="s">
        <v>32</v>
      </c>
      <c r="J360" s="1" t="s">
        <v>29</v>
      </c>
      <c r="K360" s="1" t="s">
        <v>1114</v>
      </c>
      <c r="L360">
        <v>3</v>
      </c>
      <c r="M360">
        <v>0</v>
      </c>
      <c r="N360">
        <v>0</v>
      </c>
      <c r="O360">
        <v>6</v>
      </c>
      <c r="P360">
        <v>3</v>
      </c>
      <c r="Q360">
        <v>0</v>
      </c>
      <c r="R360">
        <v>0</v>
      </c>
      <c r="S360">
        <v>1</v>
      </c>
      <c r="T360">
        <v>1</v>
      </c>
      <c r="U360" s="1" t="s">
        <v>1115</v>
      </c>
      <c r="V360" s="1" t="s">
        <v>169</v>
      </c>
      <c r="W360" s="1">
        <f t="shared" si="5"/>
        <v>270.07</v>
      </c>
      <c r="X360" s="1" t="s">
        <v>1116</v>
      </c>
      <c r="Y360">
        <v>1</v>
      </c>
      <c r="Z360">
        <v>1</v>
      </c>
      <c r="AA360">
        <v>90</v>
      </c>
    </row>
    <row r="361" spans="1:27" x14ac:dyDescent="0.3">
      <c r="A361" s="1" t="s">
        <v>1725</v>
      </c>
      <c r="B361">
        <v>360</v>
      </c>
      <c r="C361" s="1" t="s">
        <v>1726</v>
      </c>
      <c r="D361" s="1" t="s">
        <v>426</v>
      </c>
      <c r="E361" s="1" t="s">
        <v>32</v>
      </c>
      <c r="F361" s="1" t="s">
        <v>426</v>
      </c>
      <c r="G361" s="1" t="s">
        <v>301</v>
      </c>
      <c r="H361" s="1" t="s">
        <v>48</v>
      </c>
      <c r="I361" s="1" t="s">
        <v>32</v>
      </c>
      <c r="J361" s="1" t="s">
        <v>75</v>
      </c>
      <c r="K361" s="1" t="s">
        <v>1075</v>
      </c>
      <c r="L361">
        <v>1</v>
      </c>
      <c r="M361">
        <v>2</v>
      </c>
      <c r="N361">
        <v>1</v>
      </c>
      <c r="O361">
        <v>1</v>
      </c>
      <c r="P361">
        <v>4</v>
      </c>
      <c r="Q361">
        <v>0</v>
      </c>
      <c r="R361">
        <v>0</v>
      </c>
      <c r="S361">
        <v>1</v>
      </c>
      <c r="T361">
        <v>1</v>
      </c>
      <c r="U361" s="1" t="s">
        <v>1075</v>
      </c>
      <c r="V361" s="1" t="s">
        <v>127</v>
      </c>
      <c r="W361" s="1">
        <f t="shared" si="5"/>
        <v>47.46</v>
      </c>
      <c r="X361" s="1" t="s">
        <v>1076</v>
      </c>
      <c r="Y361">
        <v>1</v>
      </c>
      <c r="Z361">
        <v>1</v>
      </c>
      <c r="AA361">
        <v>1</v>
      </c>
    </row>
    <row r="362" spans="1:27" x14ac:dyDescent="0.3">
      <c r="A362" s="1" t="s">
        <v>1727</v>
      </c>
      <c r="B362">
        <v>361</v>
      </c>
      <c r="C362" s="1" t="s">
        <v>1728</v>
      </c>
      <c r="D362" s="1" t="s">
        <v>432</v>
      </c>
      <c r="E362" s="1" t="s">
        <v>29</v>
      </c>
      <c r="F362" s="1" t="s">
        <v>432</v>
      </c>
      <c r="G362" s="1" t="s">
        <v>33</v>
      </c>
      <c r="H362" s="1" t="s">
        <v>55</v>
      </c>
      <c r="I362" s="1" t="s">
        <v>33</v>
      </c>
      <c r="J362" s="1" t="s">
        <v>33</v>
      </c>
      <c r="K362" s="1" t="s">
        <v>34</v>
      </c>
      <c r="L362">
        <v>1</v>
      </c>
      <c r="M362">
        <v>0</v>
      </c>
      <c r="N362">
        <v>0</v>
      </c>
      <c r="O362">
        <v>2</v>
      </c>
      <c r="P362">
        <v>1</v>
      </c>
      <c r="Q362">
        <v>1</v>
      </c>
      <c r="R362">
        <v>0</v>
      </c>
      <c r="S362">
        <v>0</v>
      </c>
      <c r="T362">
        <v>0</v>
      </c>
      <c r="U362" s="1" t="s">
        <v>434</v>
      </c>
      <c r="V362" s="1">
        <v>0</v>
      </c>
      <c r="W362" s="1">
        <f t="shared" si="5"/>
        <v>0</v>
      </c>
      <c r="X362" s="1" t="s">
        <v>434</v>
      </c>
      <c r="Y362">
        <v>1</v>
      </c>
      <c r="Z362">
        <v>0</v>
      </c>
      <c r="AA362">
        <v>2</v>
      </c>
    </row>
    <row r="363" spans="1:27" x14ac:dyDescent="0.3">
      <c r="A363" s="1" t="s">
        <v>1729</v>
      </c>
      <c r="B363">
        <v>362</v>
      </c>
      <c r="C363" s="1" t="s">
        <v>1730</v>
      </c>
      <c r="D363" s="1" t="s">
        <v>1731</v>
      </c>
      <c r="E363" s="1" t="s">
        <v>39</v>
      </c>
      <c r="F363" s="1" t="s">
        <v>203</v>
      </c>
      <c r="G363" s="1" t="s">
        <v>313</v>
      </c>
      <c r="H363" s="1" t="s">
        <v>63</v>
      </c>
      <c r="I363" s="1" t="s">
        <v>33</v>
      </c>
      <c r="J363" s="1" t="s">
        <v>33</v>
      </c>
      <c r="K363" s="1" t="s">
        <v>34</v>
      </c>
      <c r="L363">
        <v>1</v>
      </c>
      <c r="M363">
        <v>0</v>
      </c>
      <c r="N363">
        <v>0</v>
      </c>
      <c r="O363">
        <v>3</v>
      </c>
      <c r="P363">
        <v>1</v>
      </c>
      <c r="Q363">
        <v>1</v>
      </c>
      <c r="R363">
        <v>0</v>
      </c>
      <c r="S363">
        <v>0</v>
      </c>
      <c r="T363">
        <v>0</v>
      </c>
      <c r="U363" s="1" t="s">
        <v>439</v>
      </c>
      <c r="V363" s="1">
        <v>0</v>
      </c>
      <c r="W363" s="1">
        <f t="shared" si="5"/>
        <v>0</v>
      </c>
      <c r="X363" s="1" t="s">
        <v>439</v>
      </c>
      <c r="Y363">
        <v>1</v>
      </c>
      <c r="Z363">
        <v>0</v>
      </c>
      <c r="AA363">
        <v>3</v>
      </c>
    </row>
    <row r="364" spans="1:27" x14ac:dyDescent="0.3">
      <c r="A364" s="1" t="s">
        <v>1732</v>
      </c>
      <c r="B364">
        <v>363</v>
      </c>
      <c r="C364" s="1" t="s">
        <v>1733</v>
      </c>
      <c r="D364" s="1" t="s">
        <v>443</v>
      </c>
      <c r="E364" s="1" t="s">
        <v>41</v>
      </c>
      <c r="F364" s="1" t="s">
        <v>443</v>
      </c>
      <c r="G364" s="1" t="s">
        <v>318</v>
      </c>
      <c r="H364" s="1" t="s">
        <v>74</v>
      </c>
      <c r="I364" s="1" t="s">
        <v>33</v>
      </c>
      <c r="J364" s="1" t="s">
        <v>33</v>
      </c>
      <c r="K364" s="1" t="s">
        <v>34</v>
      </c>
      <c r="L364">
        <v>2</v>
      </c>
      <c r="M364">
        <v>0</v>
      </c>
      <c r="N364">
        <v>0</v>
      </c>
      <c r="O364">
        <v>4</v>
      </c>
      <c r="P364">
        <v>2</v>
      </c>
      <c r="Q364">
        <v>1</v>
      </c>
      <c r="R364">
        <v>0</v>
      </c>
      <c r="S364">
        <v>0</v>
      </c>
      <c r="T364">
        <v>0</v>
      </c>
      <c r="U364" s="1" t="s">
        <v>1734</v>
      </c>
      <c r="V364" s="1">
        <v>0</v>
      </c>
      <c r="W364" s="1">
        <f t="shared" si="5"/>
        <v>0</v>
      </c>
      <c r="X364" s="1" t="s">
        <v>1734</v>
      </c>
      <c r="Y364">
        <v>1</v>
      </c>
      <c r="Z364">
        <v>0</v>
      </c>
      <c r="AA364">
        <v>4</v>
      </c>
    </row>
    <row r="365" spans="1:27" x14ac:dyDescent="0.3">
      <c r="A365" s="1" t="s">
        <v>1735</v>
      </c>
      <c r="B365">
        <v>364</v>
      </c>
      <c r="C365" s="1" t="s">
        <v>1736</v>
      </c>
      <c r="D365" s="1" t="s">
        <v>1737</v>
      </c>
      <c r="E365" s="1" t="s">
        <v>32</v>
      </c>
      <c r="F365" s="1" t="s">
        <v>212</v>
      </c>
      <c r="G365" s="1" t="s">
        <v>322</v>
      </c>
      <c r="H365" s="1" t="s">
        <v>29</v>
      </c>
      <c r="I365" s="1" t="s">
        <v>56</v>
      </c>
      <c r="J365" s="1" t="s">
        <v>33</v>
      </c>
      <c r="K365" s="1" t="s">
        <v>34</v>
      </c>
      <c r="L365">
        <v>2</v>
      </c>
      <c r="M365">
        <v>1</v>
      </c>
      <c r="N365">
        <v>0</v>
      </c>
      <c r="O365">
        <v>5</v>
      </c>
      <c r="P365">
        <v>3</v>
      </c>
      <c r="Q365">
        <v>0</v>
      </c>
      <c r="R365">
        <v>1</v>
      </c>
      <c r="S365">
        <v>0</v>
      </c>
      <c r="T365">
        <v>0</v>
      </c>
      <c r="U365" s="1" t="s">
        <v>378</v>
      </c>
      <c r="V365" s="1">
        <v>0</v>
      </c>
      <c r="W365" s="1">
        <f t="shared" si="5"/>
        <v>0</v>
      </c>
      <c r="X365" s="1" t="s">
        <v>378</v>
      </c>
      <c r="Y365">
        <v>1</v>
      </c>
      <c r="Z365">
        <v>0</v>
      </c>
      <c r="AA365">
        <v>5</v>
      </c>
    </row>
    <row r="366" spans="1:27" x14ac:dyDescent="0.3">
      <c r="A366" s="1" t="s">
        <v>1738</v>
      </c>
      <c r="B366">
        <v>365</v>
      </c>
      <c r="C366" s="1" t="s">
        <v>1739</v>
      </c>
      <c r="D366" s="1" t="s">
        <v>452</v>
      </c>
      <c r="E366" s="1" t="s">
        <v>29</v>
      </c>
      <c r="F366" s="1" t="s">
        <v>452</v>
      </c>
      <c r="G366" s="1" t="s">
        <v>327</v>
      </c>
      <c r="H366" s="1" t="s">
        <v>32</v>
      </c>
      <c r="I366" s="1" t="s">
        <v>64</v>
      </c>
      <c r="J366" s="1" t="s">
        <v>32</v>
      </c>
      <c r="K366" s="1" t="s">
        <v>454</v>
      </c>
      <c r="L366">
        <v>2</v>
      </c>
      <c r="M366">
        <v>0</v>
      </c>
      <c r="N366">
        <v>0</v>
      </c>
      <c r="O366">
        <v>6</v>
      </c>
      <c r="P366">
        <v>2</v>
      </c>
      <c r="Q366">
        <v>0</v>
      </c>
      <c r="R366">
        <v>0</v>
      </c>
      <c r="S366">
        <v>0</v>
      </c>
      <c r="T366">
        <v>0</v>
      </c>
      <c r="U366" s="1" t="s">
        <v>455</v>
      </c>
      <c r="V366" s="1" t="s">
        <v>67</v>
      </c>
      <c r="W366" s="1">
        <f t="shared" si="5"/>
        <v>22.6</v>
      </c>
      <c r="X366" s="1" t="s">
        <v>456</v>
      </c>
      <c r="Y366">
        <v>1</v>
      </c>
      <c r="Z366">
        <v>0</v>
      </c>
      <c r="AA366">
        <v>6</v>
      </c>
    </row>
    <row r="367" spans="1:27" x14ac:dyDescent="0.3">
      <c r="A367" s="1" t="s">
        <v>1740</v>
      </c>
      <c r="B367">
        <v>366</v>
      </c>
      <c r="C367" s="1" t="s">
        <v>1741</v>
      </c>
      <c r="D367" s="1" t="s">
        <v>334</v>
      </c>
      <c r="E367" s="1" t="s">
        <v>39</v>
      </c>
      <c r="F367" s="1" t="s">
        <v>334</v>
      </c>
      <c r="G367" s="1" t="s">
        <v>334</v>
      </c>
      <c r="H367" s="1" t="s">
        <v>41</v>
      </c>
      <c r="I367" s="1" t="s">
        <v>64</v>
      </c>
      <c r="J367" s="1" t="s">
        <v>74</v>
      </c>
      <c r="K367" s="1" t="s">
        <v>461</v>
      </c>
      <c r="L367">
        <v>3</v>
      </c>
      <c r="M367">
        <v>2</v>
      </c>
      <c r="N367">
        <v>0</v>
      </c>
      <c r="O367">
        <v>1</v>
      </c>
      <c r="P367">
        <v>5</v>
      </c>
      <c r="Q367">
        <v>0</v>
      </c>
      <c r="R367">
        <v>0</v>
      </c>
      <c r="S367">
        <v>0</v>
      </c>
      <c r="T367">
        <v>0</v>
      </c>
      <c r="U367" s="1" t="s">
        <v>462</v>
      </c>
      <c r="V367" s="1" t="s">
        <v>177</v>
      </c>
      <c r="W367" s="1">
        <f t="shared" si="5"/>
        <v>61.02</v>
      </c>
      <c r="X367" s="1" t="s">
        <v>463</v>
      </c>
      <c r="Y367">
        <v>1</v>
      </c>
      <c r="Z367">
        <v>0</v>
      </c>
      <c r="AA367">
        <v>7</v>
      </c>
    </row>
    <row r="368" spans="1:27" x14ac:dyDescent="0.3">
      <c r="A368" s="1" t="s">
        <v>1742</v>
      </c>
      <c r="B368">
        <v>367</v>
      </c>
      <c r="C368" s="1" t="s">
        <v>1743</v>
      </c>
      <c r="D368" s="1" t="s">
        <v>1744</v>
      </c>
      <c r="E368" s="1" t="s">
        <v>41</v>
      </c>
      <c r="F368" s="1" t="s">
        <v>340</v>
      </c>
      <c r="G368" s="1" t="s">
        <v>342</v>
      </c>
      <c r="H368" s="1" t="s">
        <v>48</v>
      </c>
      <c r="I368" s="1" t="s">
        <v>32</v>
      </c>
      <c r="J368" s="1" t="s">
        <v>74</v>
      </c>
      <c r="K368" s="1" t="s">
        <v>359</v>
      </c>
      <c r="L368">
        <v>3</v>
      </c>
      <c r="M368">
        <v>0</v>
      </c>
      <c r="N368">
        <v>0</v>
      </c>
      <c r="O368">
        <v>2</v>
      </c>
      <c r="P368">
        <v>3</v>
      </c>
      <c r="Q368">
        <v>0</v>
      </c>
      <c r="R368">
        <v>0</v>
      </c>
      <c r="S368">
        <v>1</v>
      </c>
      <c r="T368">
        <v>1</v>
      </c>
      <c r="U368" s="1" t="s">
        <v>360</v>
      </c>
      <c r="V368" s="1" t="s">
        <v>87</v>
      </c>
      <c r="W368" s="1">
        <f t="shared" si="5"/>
        <v>274.58999999999997</v>
      </c>
      <c r="X368" s="1" t="s">
        <v>468</v>
      </c>
      <c r="Y368">
        <v>1</v>
      </c>
      <c r="Z368">
        <v>1</v>
      </c>
      <c r="AA368">
        <v>8</v>
      </c>
    </row>
    <row r="369" spans="1:27" x14ac:dyDescent="0.3">
      <c r="A369" s="1" t="s">
        <v>1745</v>
      </c>
      <c r="B369">
        <v>368</v>
      </c>
      <c r="C369" s="1" t="s">
        <v>1746</v>
      </c>
      <c r="D369" s="1" t="s">
        <v>1747</v>
      </c>
      <c r="E369" s="1" t="s">
        <v>32</v>
      </c>
      <c r="F369" s="1" t="s">
        <v>349</v>
      </c>
      <c r="G369" s="1" t="s">
        <v>351</v>
      </c>
      <c r="H369" s="1" t="s">
        <v>55</v>
      </c>
      <c r="I369" s="1" t="s">
        <v>32</v>
      </c>
      <c r="J369" s="1" t="s">
        <v>29</v>
      </c>
      <c r="K369" s="1" t="s">
        <v>1748</v>
      </c>
      <c r="L369">
        <v>3</v>
      </c>
      <c r="M369">
        <v>1</v>
      </c>
      <c r="N369">
        <v>0</v>
      </c>
      <c r="O369">
        <v>3</v>
      </c>
      <c r="P369">
        <v>4</v>
      </c>
      <c r="Q369">
        <v>0</v>
      </c>
      <c r="R369">
        <v>0</v>
      </c>
      <c r="S369">
        <v>1</v>
      </c>
      <c r="T369">
        <v>1</v>
      </c>
      <c r="U369" s="1" t="s">
        <v>1749</v>
      </c>
      <c r="V369" s="1" t="s">
        <v>257</v>
      </c>
      <c r="W369" s="1">
        <f t="shared" si="5"/>
        <v>222.95</v>
      </c>
      <c r="X369" s="1" t="s">
        <v>323</v>
      </c>
      <c r="Y369">
        <v>1</v>
      </c>
      <c r="Z369">
        <v>1</v>
      </c>
      <c r="AA369">
        <v>9</v>
      </c>
    </row>
    <row r="370" spans="1:27" x14ac:dyDescent="0.3">
      <c r="A370" s="1" t="s">
        <v>1750</v>
      </c>
      <c r="B370">
        <v>369</v>
      </c>
      <c r="C370" s="1" t="s">
        <v>1751</v>
      </c>
      <c r="D370" s="1" t="s">
        <v>479</v>
      </c>
      <c r="E370" s="1" t="s">
        <v>29</v>
      </c>
      <c r="F370" s="1" t="s">
        <v>479</v>
      </c>
      <c r="G370" s="1" t="s">
        <v>358</v>
      </c>
      <c r="H370" s="1" t="s">
        <v>63</v>
      </c>
      <c r="I370" s="1" t="s">
        <v>32</v>
      </c>
      <c r="J370" s="1" t="s">
        <v>75</v>
      </c>
      <c r="K370" s="1" t="s">
        <v>1752</v>
      </c>
      <c r="L370">
        <v>3</v>
      </c>
      <c r="M370">
        <v>0</v>
      </c>
      <c r="N370">
        <v>0</v>
      </c>
      <c r="O370">
        <v>4</v>
      </c>
      <c r="P370">
        <v>3</v>
      </c>
      <c r="Q370">
        <v>0</v>
      </c>
      <c r="R370">
        <v>0</v>
      </c>
      <c r="S370">
        <v>1</v>
      </c>
      <c r="T370">
        <v>1</v>
      </c>
      <c r="U370" s="1" t="s">
        <v>1752</v>
      </c>
      <c r="V370" s="1" t="s">
        <v>104</v>
      </c>
      <c r="W370" s="1">
        <f t="shared" si="5"/>
        <v>76.84</v>
      </c>
      <c r="X370" s="1" t="s">
        <v>1753</v>
      </c>
      <c r="Y370">
        <v>1</v>
      </c>
      <c r="Z370">
        <v>1</v>
      </c>
      <c r="AA370">
        <v>10</v>
      </c>
    </row>
    <row r="371" spans="1:27" x14ac:dyDescent="0.3">
      <c r="A371" s="1" t="s">
        <v>1754</v>
      </c>
      <c r="B371">
        <v>370</v>
      </c>
      <c r="C371" s="1" t="s">
        <v>1755</v>
      </c>
      <c r="D371" s="1" t="s">
        <v>1756</v>
      </c>
      <c r="E371" s="1" t="s">
        <v>39</v>
      </c>
      <c r="F371" s="1" t="s">
        <v>39</v>
      </c>
      <c r="G371" s="1" t="s">
        <v>364</v>
      </c>
      <c r="H371" s="1" t="s">
        <v>74</v>
      </c>
      <c r="I371" s="1" t="s">
        <v>32</v>
      </c>
      <c r="J371" s="1" t="s">
        <v>41</v>
      </c>
      <c r="K371" s="1" t="s">
        <v>1757</v>
      </c>
      <c r="L371">
        <v>1</v>
      </c>
      <c r="M371">
        <v>0</v>
      </c>
      <c r="N371">
        <v>0</v>
      </c>
      <c r="O371">
        <v>5</v>
      </c>
      <c r="P371">
        <v>1</v>
      </c>
      <c r="Q371">
        <v>0</v>
      </c>
      <c r="R371">
        <v>0</v>
      </c>
      <c r="S371">
        <v>1</v>
      </c>
      <c r="T371">
        <v>1</v>
      </c>
      <c r="U371" s="1" t="s">
        <v>1758</v>
      </c>
      <c r="V371" s="1" t="s">
        <v>270</v>
      </c>
      <c r="W371" s="1">
        <f t="shared" si="5"/>
        <v>73.789999999999907</v>
      </c>
      <c r="X371" s="1" t="s">
        <v>1759</v>
      </c>
      <c r="Y371">
        <v>1</v>
      </c>
      <c r="Z371">
        <v>1</v>
      </c>
      <c r="AA371">
        <v>11</v>
      </c>
    </row>
    <row r="372" spans="1:27" x14ac:dyDescent="0.3">
      <c r="A372" s="1" t="s">
        <v>1760</v>
      </c>
      <c r="B372">
        <v>371</v>
      </c>
      <c r="C372" s="1" t="s">
        <v>1761</v>
      </c>
      <c r="D372" s="1" t="s">
        <v>1762</v>
      </c>
      <c r="E372" s="1" t="s">
        <v>41</v>
      </c>
      <c r="F372" s="1" t="s">
        <v>491</v>
      </c>
      <c r="G372" s="1" t="s">
        <v>41</v>
      </c>
      <c r="H372" s="1" t="s">
        <v>29</v>
      </c>
      <c r="I372" s="1" t="s">
        <v>32</v>
      </c>
      <c r="J372" s="1" t="s">
        <v>32</v>
      </c>
      <c r="K372" s="1" t="s">
        <v>421</v>
      </c>
      <c r="L372">
        <v>1</v>
      </c>
      <c r="M372">
        <v>0</v>
      </c>
      <c r="N372">
        <v>0</v>
      </c>
      <c r="O372">
        <v>6</v>
      </c>
      <c r="P372">
        <v>1</v>
      </c>
      <c r="Q372">
        <v>0</v>
      </c>
      <c r="R372">
        <v>0</v>
      </c>
      <c r="S372">
        <v>1</v>
      </c>
      <c r="T372">
        <v>1</v>
      </c>
      <c r="U372" s="1" t="s">
        <v>422</v>
      </c>
      <c r="V372" s="1" t="s">
        <v>169</v>
      </c>
      <c r="W372" s="1">
        <f t="shared" si="5"/>
        <v>270.07</v>
      </c>
      <c r="X372" s="1" t="s">
        <v>346</v>
      </c>
      <c r="Y372">
        <v>1</v>
      </c>
      <c r="Z372">
        <v>1</v>
      </c>
      <c r="AA372">
        <v>12</v>
      </c>
    </row>
    <row r="373" spans="1:27" x14ac:dyDescent="0.3">
      <c r="A373" s="1" t="s">
        <v>1763</v>
      </c>
      <c r="B373">
        <v>372</v>
      </c>
      <c r="C373" s="1" t="s">
        <v>1764</v>
      </c>
      <c r="D373" s="1" t="s">
        <v>1765</v>
      </c>
      <c r="E373" s="1" t="s">
        <v>32</v>
      </c>
      <c r="F373" s="1" t="s">
        <v>495</v>
      </c>
      <c r="G373" s="1" t="s">
        <v>375</v>
      </c>
      <c r="H373" s="1" t="s">
        <v>32</v>
      </c>
      <c r="I373" s="1" t="s">
        <v>32</v>
      </c>
      <c r="J373" s="1" t="s">
        <v>74</v>
      </c>
      <c r="K373" s="1" t="s">
        <v>462</v>
      </c>
      <c r="L373">
        <v>1</v>
      </c>
      <c r="M373">
        <v>2</v>
      </c>
      <c r="N373">
        <v>1</v>
      </c>
      <c r="O373">
        <v>1</v>
      </c>
      <c r="P373">
        <v>4</v>
      </c>
      <c r="Q373">
        <v>0</v>
      </c>
      <c r="R373">
        <v>0</v>
      </c>
      <c r="S373">
        <v>1</v>
      </c>
      <c r="T373">
        <v>1</v>
      </c>
      <c r="U373" s="1" t="s">
        <v>462</v>
      </c>
      <c r="V373" s="1" t="s">
        <v>127</v>
      </c>
      <c r="W373" s="1">
        <f t="shared" si="5"/>
        <v>47.46</v>
      </c>
      <c r="X373" s="1" t="s">
        <v>354</v>
      </c>
      <c r="Y373">
        <v>1</v>
      </c>
      <c r="Z373">
        <v>1</v>
      </c>
      <c r="AA373">
        <v>13</v>
      </c>
    </row>
    <row r="374" spans="1:27" x14ac:dyDescent="0.3">
      <c r="A374" s="1" t="s">
        <v>1766</v>
      </c>
      <c r="B374">
        <v>373</v>
      </c>
      <c r="C374" s="1" t="s">
        <v>1767</v>
      </c>
      <c r="D374" s="1" t="s">
        <v>501</v>
      </c>
      <c r="E374" s="1" t="s">
        <v>29</v>
      </c>
      <c r="F374" s="1" t="s">
        <v>501</v>
      </c>
      <c r="G374" s="1" t="s">
        <v>382</v>
      </c>
      <c r="H374" s="1" t="s">
        <v>41</v>
      </c>
      <c r="I374" s="1" t="s">
        <v>32</v>
      </c>
      <c r="J374" s="1" t="s">
        <v>29</v>
      </c>
      <c r="K374" s="1" t="s">
        <v>359</v>
      </c>
      <c r="L374">
        <v>2</v>
      </c>
      <c r="M374">
        <v>0</v>
      </c>
      <c r="N374">
        <v>0</v>
      </c>
      <c r="O374">
        <v>2</v>
      </c>
      <c r="P374">
        <v>2</v>
      </c>
      <c r="Q374">
        <v>0</v>
      </c>
      <c r="R374">
        <v>0</v>
      </c>
      <c r="S374">
        <v>1</v>
      </c>
      <c r="T374">
        <v>1</v>
      </c>
      <c r="U374" s="1" t="s">
        <v>360</v>
      </c>
      <c r="V374" s="1" t="s">
        <v>288</v>
      </c>
      <c r="W374" s="1">
        <f t="shared" si="5"/>
        <v>301.70999999999998</v>
      </c>
      <c r="X374" s="1" t="s">
        <v>361</v>
      </c>
      <c r="Y374">
        <v>1</v>
      </c>
      <c r="Z374">
        <v>1</v>
      </c>
      <c r="AA374">
        <v>14</v>
      </c>
    </row>
    <row r="375" spans="1:27" x14ac:dyDescent="0.3">
      <c r="A375" s="1" t="s">
        <v>1768</v>
      </c>
      <c r="B375">
        <v>374</v>
      </c>
      <c r="C375" s="1" t="s">
        <v>1769</v>
      </c>
      <c r="D375" s="1" t="s">
        <v>1770</v>
      </c>
      <c r="E375" s="1" t="s">
        <v>39</v>
      </c>
      <c r="F375" s="1" t="s">
        <v>505</v>
      </c>
      <c r="G375" s="1" t="s">
        <v>388</v>
      </c>
      <c r="H375" s="1" t="s">
        <v>48</v>
      </c>
      <c r="I375" s="1" t="s">
        <v>32</v>
      </c>
      <c r="J375" s="1" t="s">
        <v>75</v>
      </c>
      <c r="K375" s="1" t="s">
        <v>631</v>
      </c>
      <c r="L375">
        <v>2</v>
      </c>
      <c r="M375">
        <v>0</v>
      </c>
      <c r="N375">
        <v>0</v>
      </c>
      <c r="O375">
        <v>3</v>
      </c>
      <c r="P375">
        <v>2</v>
      </c>
      <c r="Q375">
        <v>0</v>
      </c>
      <c r="R375">
        <v>0</v>
      </c>
      <c r="S375">
        <v>1</v>
      </c>
      <c r="T375">
        <v>1</v>
      </c>
      <c r="U375" s="1" t="s">
        <v>632</v>
      </c>
      <c r="V375" s="1" t="s">
        <v>144</v>
      </c>
      <c r="W375" s="1">
        <f t="shared" si="5"/>
        <v>202.26999999999899</v>
      </c>
      <c r="X375" s="1" t="s">
        <v>510</v>
      </c>
      <c r="Y375">
        <v>1</v>
      </c>
      <c r="Z375">
        <v>1</v>
      </c>
      <c r="AA375">
        <v>15</v>
      </c>
    </row>
    <row r="376" spans="1:27" x14ac:dyDescent="0.3">
      <c r="A376" s="1" t="s">
        <v>1771</v>
      </c>
      <c r="B376">
        <v>375</v>
      </c>
      <c r="C376" s="1" t="s">
        <v>1772</v>
      </c>
      <c r="D376" s="1" t="s">
        <v>1773</v>
      </c>
      <c r="E376" s="1" t="s">
        <v>41</v>
      </c>
      <c r="F376" s="1" t="s">
        <v>513</v>
      </c>
      <c r="G376" s="1" t="s">
        <v>395</v>
      </c>
      <c r="H376" s="1" t="s">
        <v>55</v>
      </c>
      <c r="I376" s="1" t="s">
        <v>32</v>
      </c>
      <c r="J376" s="1" t="s">
        <v>41</v>
      </c>
      <c r="K376" s="1" t="s">
        <v>514</v>
      </c>
      <c r="L376">
        <v>2</v>
      </c>
      <c r="M376">
        <v>0</v>
      </c>
      <c r="N376">
        <v>0</v>
      </c>
      <c r="O376">
        <v>4</v>
      </c>
      <c r="P376">
        <v>2</v>
      </c>
      <c r="Q376">
        <v>0</v>
      </c>
      <c r="R376">
        <v>0</v>
      </c>
      <c r="S376">
        <v>1</v>
      </c>
      <c r="T376">
        <v>1</v>
      </c>
      <c r="U376" s="1" t="s">
        <v>514</v>
      </c>
      <c r="V376" s="1" t="s">
        <v>152</v>
      </c>
      <c r="W376" s="1">
        <f t="shared" si="5"/>
        <v>63.28</v>
      </c>
      <c r="X376" s="1" t="s">
        <v>515</v>
      </c>
      <c r="Y376">
        <v>1</v>
      </c>
      <c r="Z376">
        <v>1</v>
      </c>
      <c r="AA376">
        <v>16</v>
      </c>
    </row>
    <row r="377" spans="1:27" x14ac:dyDescent="0.3">
      <c r="A377" s="1" t="s">
        <v>1774</v>
      </c>
      <c r="B377">
        <v>376</v>
      </c>
      <c r="C377" s="1" t="s">
        <v>1775</v>
      </c>
      <c r="D377" s="1" t="s">
        <v>1776</v>
      </c>
      <c r="E377" s="1" t="s">
        <v>32</v>
      </c>
      <c r="F377" s="1" t="s">
        <v>280</v>
      </c>
      <c r="G377" s="1" t="s">
        <v>403</v>
      </c>
      <c r="H377" s="1" t="s">
        <v>63</v>
      </c>
      <c r="I377" s="1" t="s">
        <v>32</v>
      </c>
      <c r="J377" s="1" t="s">
        <v>32</v>
      </c>
      <c r="K377" s="1" t="s">
        <v>1183</v>
      </c>
      <c r="L377">
        <v>3</v>
      </c>
      <c r="M377">
        <v>1</v>
      </c>
      <c r="N377">
        <v>0</v>
      </c>
      <c r="O377">
        <v>5</v>
      </c>
      <c r="P377">
        <v>4</v>
      </c>
      <c r="Q377">
        <v>0</v>
      </c>
      <c r="R377">
        <v>0</v>
      </c>
      <c r="S377">
        <v>1</v>
      </c>
      <c r="T377">
        <v>1</v>
      </c>
      <c r="U377" s="1" t="s">
        <v>1184</v>
      </c>
      <c r="V377" s="1" t="s">
        <v>304</v>
      </c>
      <c r="W377" s="1">
        <f t="shared" si="5"/>
        <v>64.41</v>
      </c>
      <c r="X377" s="1" t="s">
        <v>378</v>
      </c>
      <c r="Y377">
        <v>1</v>
      </c>
      <c r="Z377">
        <v>1</v>
      </c>
      <c r="AA377">
        <v>17</v>
      </c>
    </row>
    <row r="378" spans="1:27" x14ac:dyDescent="0.3">
      <c r="A378" s="1" t="s">
        <v>1777</v>
      </c>
      <c r="B378">
        <v>377</v>
      </c>
      <c r="C378" s="1" t="s">
        <v>1778</v>
      </c>
      <c r="D378" s="1" t="s">
        <v>1779</v>
      </c>
      <c r="E378" s="1" t="s">
        <v>29</v>
      </c>
      <c r="F378" s="1" t="s">
        <v>523</v>
      </c>
      <c r="G378" s="1" t="s">
        <v>408</v>
      </c>
      <c r="H378" s="1" t="s">
        <v>74</v>
      </c>
      <c r="I378" s="1" t="s">
        <v>32</v>
      </c>
      <c r="J378" s="1" t="s">
        <v>74</v>
      </c>
      <c r="K378" s="1" t="s">
        <v>1188</v>
      </c>
      <c r="L378">
        <v>3</v>
      </c>
      <c r="M378">
        <v>0</v>
      </c>
      <c r="N378">
        <v>0</v>
      </c>
      <c r="O378">
        <v>6</v>
      </c>
      <c r="P378">
        <v>3</v>
      </c>
      <c r="Q378">
        <v>0</v>
      </c>
      <c r="R378">
        <v>0</v>
      </c>
      <c r="S378">
        <v>1</v>
      </c>
      <c r="T378">
        <v>1</v>
      </c>
      <c r="U378" s="1" t="s">
        <v>1189</v>
      </c>
      <c r="V378" s="1" t="s">
        <v>1190</v>
      </c>
      <c r="W378" s="1">
        <f t="shared" si="5"/>
        <v>267.81</v>
      </c>
      <c r="X378" s="1" t="s">
        <v>310</v>
      </c>
      <c r="Y378">
        <v>1</v>
      </c>
      <c r="Z378">
        <v>1</v>
      </c>
      <c r="AA378">
        <v>18</v>
      </c>
    </row>
    <row r="379" spans="1:27" x14ac:dyDescent="0.3">
      <c r="A379" s="1" t="s">
        <v>1780</v>
      </c>
      <c r="B379">
        <v>378</v>
      </c>
      <c r="C379" s="1" t="s">
        <v>1781</v>
      </c>
      <c r="D379" s="1" t="s">
        <v>530</v>
      </c>
      <c r="E379" s="1" t="s">
        <v>39</v>
      </c>
      <c r="F379" s="1" t="s">
        <v>530</v>
      </c>
      <c r="G379" s="1" t="s">
        <v>413</v>
      </c>
      <c r="H379" s="1" t="s">
        <v>29</v>
      </c>
      <c r="I379" s="1" t="s">
        <v>32</v>
      </c>
      <c r="J379" s="1" t="s">
        <v>29</v>
      </c>
      <c r="K379" s="1" t="s">
        <v>389</v>
      </c>
      <c r="L379">
        <v>3</v>
      </c>
      <c r="M379">
        <v>2</v>
      </c>
      <c r="N379">
        <v>0</v>
      </c>
      <c r="O379">
        <v>1</v>
      </c>
      <c r="P379">
        <v>5</v>
      </c>
      <c r="Q379">
        <v>0</v>
      </c>
      <c r="R379">
        <v>0</v>
      </c>
      <c r="S379">
        <v>1</v>
      </c>
      <c r="T379">
        <v>1</v>
      </c>
      <c r="U379" s="1" t="s">
        <v>389</v>
      </c>
      <c r="V379" s="1" t="s">
        <v>177</v>
      </c>
      <c r="W379" s="1">
        <f t="shared" si="5"/>
        <v>61.02</v>
      </c>
      <c r="X379" s="1" t="s">
        <v>390</v>
      </c>
      <c r="Y379">
        <v>1</v>
      </c>
      <c r="Z379">
        <v>1</v>
      </c>
      <c r="AA379">
        <v>19</v>
      </c>
    </row>
    <row r="380" spans="1:27" x14ac:dyDescent="0.3">
      <c r="A380" s="1" t="s">
        <v>1782</v>
      </c>
      <c r="B380">
        <v>379</v>
      </c>
      <c r="C380" s="1" t="s">
        <v>1783</v>
      </c>
      <c r="D380" s="1" t="s">
        <v>534</v>
      </c>
      <c r="E380" s="1" t="s">
        <v>41</v>
      </c>
      <c r="F380" s="1" t="s">
        <v>534</v>
      </c>
      <c r="G380" s="1" t="s">
        <v>420</v>
      </c>
      <c r="H380" s="1" t="s">
        <v>32</v>
      </c>
      <c r="I380" s="1" t="s">
        <v>32</v>
      </c>
      <c r="J380" s="1" t="s">
        <v>75</v>
      </c>
      <c r="K380" s="1" t="s">
        <v>359</v>
      </c>
      <c r="L380">
        <v>3</v>
      </c>
      <c r="M380">
        <v>0</v>
      </c>
      <c r="N380">
        <v>0</v>
      </c>
      <c r="O380">
        <v>2</v>
      </c>
      <c r="P380">
        <v>3</v>
      </c>
      <c r="Q380">
        <v>0</v>
      </c>
      <c r="R380">
        <v>0</v>
      </c>
      <c r="S380">
        <v>1</v>
      </c>
      <c r="T380">
        <v>1</v>
      </c>
      <c r="U380" s="1" t="s">
        <v>360</v>
      </c>
      <c r="V380" s="1" t="s">
        <v>87</v>
      </c>
      <c r="W380" s="1">
        <f t="shared" si="5"/>
        <v>274.58999999999997</v>
      </c>
      <c r="X380" s="1" t="s">
        <v>468</v>
      </c>
      <c r="Y380">
        <v>1</v>
      </c>
      <c r="Z380">
        <v>1</v>
      </c>
      <c r="AA380">
        <v>20</v>
      </c>
    </row>
    <row r="381" spans="1:27" x14ac:dyDescent="0.3">
      <c r="A381" s="1" t="s">
        <v>1784</v>
      </c>
      <c r="B381">
        <v>380</v>
      </c>
      <c r="C381" s="1" t="s">
        <v>1785</v>
      </c>
      <c r="D381" s="1" t="s">
        <v>1786</v>
      </c>
      <c r="E381" s="1" t="s">
        <v>32</v>
      </c>
      <c r="F381" s="1" t="s">
        <v>539</v>
      </c>
      <c r="G381" s="1" t="s">
        <v>427</v>
      </c>
      <c r="H381" s="1" t="s">
        <v>41</v>
      </c>
      <c r="I381" s="1" t="s">
        <v>32</v>
      </c>
      <c r="J381" s="1" t="s">
        <v>41</v>
      </c>
      <c r="K381" s="1" t="s">
        <v>541</v>
      </c>
      <c r="L381">
        <v>1</v>
      </c>
      <c r="M381">
        <v>1</v>
      </c>
      <c r="N381">
        <v>0</v>
      </c>
      <c r="O381">
        <v>3</v>
      </c>
      <c r="P381">
        <v>2</v>
      </c>
      <c r="Q381">
        <v>0</v>
      </c>
      <c r="R381">
        <v>0</v>
      </c>
      <c r="S381">
        <v>1</v>
      </c>
      <c r="T381">
        <v>1</v>
      </c>
      <c r="U381" s="1" t="s">
        <v>542</v>
      </c>
      <c r="V381" s="1" t="s">
        <v>96</v>
      </c>
      <c r="W381" s="1">
        <f t="shared" si="5"/>
        <v>229.39</v>
      </c>
      <c r="X381" s="1" t="s">
        <v>543</v>
      </c>
      <c r="Y381">
        <v>1</v>
      </c>
      <c r="Z381">
        <v>1</v>
      </c>
      <c r="AA381">
        <v>21</v>
      </c>
    </row>
    <row r="382" spans="1:27" x14ac:dyDescent="0.3">
      <c r="A382" s="1" t="s">
        <v>1787</v>
      </c>
      <c r="B382">
        <v>381</v>
      </c>
      <c r="C382" s="1" t="s">
        <v>1788</v>
      </c>
      <c r="D382" s="1" t="s">
        <v>1789</v>
      </c>
      <c r="E382" s="1" t="s">
        <v>29</v>
      </c>
      <c r="F382" s="1" t="s">
        <v>33</v>
      </c>
      <c r="G382" s="1" t="s">
        <v>433</v>
      </c>
      <c r="H382" s="1" t="s">
        <v>48</v>
      </c>
      <c r="I382" s="1" t="s">
        <v>33</v>
      </c>
      <c r="J382" s="1" t="s">
        <v>33</v>
      </c>
      <c r="K382" s="1" t="s">
        <v>34</v>
      </c>
      <c r="L382">
        <v>1</v>
      </c>
      <c r="M382">
        <v>0</v>
      </c>
      <c r="N382">
        <v>0</v>
      </c>
      <c r="O382">
        <v>4</v>
      </c>
      <c r="P382">
        <v>1</v>
      </c>
      <c r="Q382">
        <v>1</v>
      </c>
      <c r="R382">
        <v>0</v>
      </c>
      <c r="S382">
        <v>0</v>
      </c>
      <c r="T382">
        <v>0</v>
      </c>
      <c r="U382" s="1" t="s">
        <v>1158</v>
      </c>
      <c r="V382" s="1">
        <v>0</v>
      </c>
      <c r="W382" s="1">
        <f t="shared" si="5"/>
        <v>0</v>
      </c>
      <c r="X382" s="1" t="s">
        <v>1158</v>
      </c>
      <c r="Y382">
        <v>1</v>
      </c>
      <c r="Z382">
        <v>0</v>
      </c>
      <c r="AA382">
        <v>22</v>
      </c>
    </row>
    <row r="383" spans="1:27" x14ac:dyDescent="0.3">
      <c r="A383" s="1" t="s">
        <v>1790</v>
      </c>
      <c r="B383">
        <v>382</v>
      </c>
      <c r="C383" s="1" t="s">
        <v>1791</v>
      </c>
      <c r="D383" s="1" t="s">
        <v>438</v>
      </c>
      <c r="E383" s="1" t="s">
        <v>39</v>
      </c>
      <c r="F383" s="1" t="s">
        <v>551</v>
      </c>
      <c r="G383" s="1" t="s">
        <v>438</v>
      </c>
      <c r="H383" s="1" t="s">
        <v>55</v>
      </c>
      <c r="I383" s="1" t="s">
        <v>33</v>
      </c>
      <c r="J383" s="1" t="s">
        <v>33</v>
      </c>
      <c r="K383" s="1" t="s">
        <v>34</v>
      </c>
      <c r="L383">
        <v>1</v>
      </c>
      <c r="M383">
        <v>0</v>
      </c>
      <c r="N383">
        <v>0</v>
      </c>
      <c r="O383">
        <v>5</v>
      </c>
      <c r="P383">
        <v>1</v>
      </c>
      <c r="Q383">
        <v>1</v>
      </c>
      <c r="R383">
        <v>0</v>
      </c>
      <c r="S383">
        <v>0</v>
      </c>
      <c r="T383">
        <v>0</v>
      </c>
      <c r="U383" s="1" t="s">
        <v>416</v>
      </c>
      <c r="V383" s="1">
        <v>0</v>
      </c>
      <c r="W383" s="1">
        <f t="shared" si="5"/>
        <v>0</v>
      </c>
      <c r="X383" s="1" t="s">
        <v>416</v>
      </c>
      <c r="Y383">
        <v>1</v>
      </c>
      <c r="Z383">
        <v>0</v>
      </c>
      <c r="AA383">
        <v>23</v>
      </c>
    </row>
    <row r="384" spans="1:27" x14ac:dyDescent="0.3">
      <c r="A384" s="1" t="s">
        <v>1792</v>
      </c>
      <c r="B384">
        <v>383</v>
      </c>
      <c r="C384" s="1" t="s">
        <v>1793</v>
      </c>
      <c r="D384" s="1" t="s">
        <v>1794</v>
      </c>
      <c r="E384" s="1" t="s">
        <v>41</v>
      </c>
      <c r="F384" s="1" t="s">
        <v>554</v>
      </c>
      <c r="G384" s="1" t="s">
        <v>444</v>
      </c>
      <c r="H384" s="1" t="s">
        <v>63</v>
      </c>
      <c r="I384" s="1" t="s">
        <v>33</v>
      </c>
      <c r="J384" s="1" t="s">
        <v>33</v>
      </c>
      <c r="K384" s="1" t="s">
        <v>34</v>
      </c>
      <c r="L384">
        <v>2</v>
      </c>
      <c r="M384">
        <v>0</v>
      </c>
      <c r="N384">
        <v>0</v>
      </c>
      <c r="O384">
        <v>6</v>
      </c>
      <c r="P384">
        <v>2</v>
      </c>
      <c r="Q384">
        <v>1</v>
      </c>
      <c r="R384">
        <v>0</v>
      </c>
      <c r="S384">
        <v>0</v>
      </c>
      <c r="T384">
        <v>0</v>
      </c>
      <c r="U384" s="1" t="s">
        <v>556</v>
      </c>
      <c r="V384" s="1">
        <v>0</v>
      </c>
      <c r="W384" s="1">
        <f t="shared" si="5"/>
        <v>0</v>
      </c>
      <c r="X384" s="1" t="s">
        <v>556</v>
      </c>
      <c r="Y384">
        <v>1</v>
      </c>
      <c r="Z384">
        <v>0</v>
      </c>
      <c r="AA384">
        <v>24</v>
      </c>
    </row>
    <row r="385" spans="1:27" x14ac:dyDescent="0.3">
      <c r="A385" s="1" t="s">
        <v>1795</v>
      </c>
      <c r="B385">
        <v>384</v>
      </c>
      <c r="C385" s="1" t="s">
        <v>1796</v>
      </c>
      <c r="D385" s="1" t="s">
        <v>448</v>
      </c>
      <c r="E385" s="1" t="s">
        <v>32</v>
      </c>
      <c r="F385" s="1" t="s">
        <v>448</v>
      </c>
      <c r="G385" s="1" t="s">
        <v>448</v>
      </c>
      <c r="H385" s="1" t="s">
        <v>74</v>
      </c>
      <c r="I385" s="1" t="s">
        <v>56</v>
      </c>
      <c r="J385" s="1" t="s">
        <v>33</v>
      </c>
      <c r="K385" s="1" t="s">
        <v>34</v>
      </c>
      <c r="L385">
        <v>2</v>
      </c>
      <c r="M385">
        <v>2</v>
      </c>
      <c r="N385">
        <v>1</v>
      </c>
      <c r="O385">
        <v>1</v>
      </c>
      <c r="P385">
        <v>5</v>
      </c>
      <c r="Q385">
        <v>0</v>
      </c>
      <c r="R385">
        <v>1</v>
      </c>
      <c r="S385">
        <v>0</v>
      </c>
      <c r="T385">
        <v>0</v>
      </c>
      <c r="U385" s="1" t="s">
        <v>561</v>
      </c>
      <c r="V385" s="1">
        <v>0</v>
      </c>
      <c r="W385" s="1">
        <f t="shared" si="5"/>
        <v>0</v>
      </c>
      <c r="X385" s="1" t="s">
        <v>561</v>
      </c>
      <c r="Y385">
        <v>1</v>
      </c>
      <c r="Z385">
        <v>0</v>
      </c>
      <c r="AA385">
        <v>25</v>
      </c>
    </row>
    <row r="386" spans="1:27" x14ac:dyDescent="0.3">
      <c r="A386" s="1" t="s">
        <v>1797</v>
      </c>
      <c r="B386">
        <v>385</v>
      </c>
      <c r="C386" s="1" t="s">
        <v>1798</v>
      </c>
      <c r="D386" s="1" t="s">
        <v>565</v>
      </c>
      <c r="E386" s="1" t="s">
        <v>29</v>
      </c>
      <c r="F386" s="1" t="s">
        <v>565</v>
      </c>
      <c r="G386" s="1" t="s">
        <v>453</v>
      </c>
      <c r="H386" s="1" t="s">
        <v>29</v>
      </c>
      <c r="I386" s="1" t="s">
        <v>64</v>
      </c>
      <c r="J386" s="1" t="s">
        <v>74</v>
      </c>
      <c r="K386" s="1" t="s">
        <v>567</v>
      </c>
      <c r="L386">
        <v>2</v>
      </c>
      <c r="M386">
        <v>0</v>
      </c>
      <c r="N386">
        <v>0</v>
      </c>
      <c r="O386">
        <v>2</v>
      </c>
      <c r="P386">
        <v>2</v>
      </c>
      <c r="Q386">
        <v>0</v>
      </c>
      <c r="R386">
        <v>0</v>
      </c>
      <c r="S386">
        <v>0</v>
      </c>
      <c r="T386">
        <v>0</v>
      </c>
      <c r="U386" s="1" t="s">
        <v>568</v>
      </c>
      <c r="V386" s="1" t="s">
        <v>219</v>
      </c>
      <c r="W386" s="1">
        <f t="shared" ref="W386:W449" si="6">VALUE(SUBSTITUTE(TRIM(V386),".", ","))</f>
        <v>206.79</v>
      </c>
      <c r="X386" s="1" t="s">
        <v>569</v>
      </c>
      <c r="Y386">
        <v>1</v>
      </c>
      <c r="Z386">
        <v>0</v>
      </c>
      <c r="AA386">
        <v>26</v>
      </c>
    </row>
    <row r="387" spans="1:27" x14ac:dyDescent="0.3">
      <c r="A387" s="1" t="s">
        <v>1799</v>
      </c>
      <c r="B387">
        <v>386</v>
      </c>
      <c r="C387" s="1" t="s">
        <v>1800</v>
      </c>
      <c r="D387" s="1" t="s">
        <v>1801</v>
      </c>
      <c r="E387" s="1" t="s">
        <v>39</v>
      </c>
      <c r="F387" s="1" t="s">
        <v>459</v>
      </c>
      <c r="G387" s="1" t="s">
        <v>460</v>
      </c>
      <c r="H387" s="1" t="s">
        <v>32</v>
      </c>
      <c r="I387" s="1" t="s">
        <v>64</v>
      </c>
      <c r="J387" s="1" t="s">
        <v>29</v>
      </c>
      <c r="K387" s="1" t="s">
        <v>574</v>
      </c>
      <c r="L387">
        <v>3</v>
      </c>
      <c r="M387">
        <v>0</v>
      </c>
      <c r="N387">
        <v>0</v>
      </c>
      <c r="O387">
        <v>3</v>
      </c>
      <c r="P387">
        <v>3</v>
      </c>
      <c r="Q387">
        <v>0</v>
      </c>
      <c r="R387">
        <v>0</v>
      </c>
      <c r="S387">
        <v>0</v>
      </c>
      <c r="T387">
        <v>0</v>
      </c>
      <c r="U387" s="1" t="s">
        <v>57</v>
      </c>
      <c r="V387" s="1" t="s">
        <v>226</v>
      </c>
      <c r="W387" s="1">
        <f t="shared" si="6"/>
        <v>94.92</v>
      </c>
      <c r="X387" s="1" t="s">
        <v>439</v>
      </c>
      <c r="Y387">
        <v>1</v>
      </c>
      <c r="Z387">
        <v>0</v>
      </c>
      <c r="AA387">
        <v>27</v>
      </c>
    </row>
    <row r="388" spans="1:27" x14ac:dyDescent="0.3">
      <c r="A388" s="1" t="s">
        <v>1802</v>
      </c>
      <c r="B388">
        <v>387</v>
      </c>
      <c r="C388" s="1" t="s">
        <v>1803</v>
      </c>
      <c r="D388" s="1" t="s">
        <v>467</v>
      </c>
      <c r="E388" s="1" t="s">
        <v>41</v>
      </c>
      <c r="F388" s="1" t="s">
        <v>467</v>
      </c>
      <c r="G388" s="1" t="s">
        <v>467</v>
      </c>
      <c r="H388" s="1" t="s">
        <v>41</v>
      </c>
      <c r="I388" s="1" t="s">
        <v>32</v>
      </c>
      <c r="J388" s="1" t="s">
        <v>29</v>
      </c>
      <c r="K388" s="1" t="s">
        <v>637</v>
      </c>
      <c r="L388">
        <v>3</v>
      </c>
      <c r="M388">
        <v>0</v>
      </c>
      <c r="N388">
        <v>0</v>
      </c>
      <c r="O388">
        <v>4</v>
      </c>
      <c r="P388">
        <v>3</v>
      </c>
      <c r="Q388">
        <v>0</v>
      </c>
      <c r="R388">
        <v>0</v>
      </c>
      <c r="S388">
        <v>1</v>
      </c>
      <c r="T388">
        <v>1</v>
      </c>
      <c r="U388" s="1" t="s">
        <v>637</v>
      </c>
      <c r="V388" s="1" t="s">
        <v>152</v>
      </c>
      <c r="W388" s="1">
        <f t="shared" si="6"/>
        <v>63.28</v>
      </c>
      <c r="X388" s="1">
        <v>419</v>
      </c>
      <c r="Y388">
        <v>1</v>
      </c>
      <c r="Z388">
        <v>1</v>
      </c>
      <c r="AA388">
        <v>28</v>
      </c>
    </row>
    <row r="389" spans="1:27" x14ac:dyDescent="0.3">
      <c r="A389" s="1" t="s">
        <v>1804</v>
      </c>
      <c r="B389">
        <v>388</v>
      </c>
      <c r="C389" s="1" t="s">
        <v>1805</v>
      </c>
      <c r="D389" s="1" t="s">
        <v>1806</v>
      </c>
      <c r="E389" s="1" t="s">
        <v>32</v>
      </c>
      <c r="F389" s="1" t="s">
        <v>581</v>
      </c>
      <c r="G389" s="1" t="s">
        <v>472</v>
      </c>
      <c r="H389" s="1" t="s">
        <v>48</v>
      </c>
      <c r="I389" s="1" t="s">
        <v>32</v>
      </c>
      <c r="J389" s="1" t="s">
        <v>75</v>
      </c>
      <c r="K389" s="1" t="s">
        <v>376</v>
      </c>
      <c r="L389">
        <v>3</v>
      </c>
      <c r="M389">
        <v>1</v>
      </c>
      <c r="N389">
        <v>0</v>
      </c>
      <c r="O389">
        <v>5</v>
      </c>
      <c r="P389">
        <v>4</v>
      </c>
      <c r="Q389">
        <v>0</v>
      </c>
      <c r="R389">
        <v>0</v>
      </c>
      <c r="S389">
        <v>1</v>
      </c>
      <c r="T389">
        <v>1</v>
      </c>
      <c r="U389" s="1" t="s">
        <v>377</v>
      </c>
      <c r="V389" s="1" t="s">
        <v>161</v>
      </c>
      <c r="W389" s="1">
        <f t="shared" si="6"/>
        <v>66.67</v>
      </c>
      <c r="X389" s="1" t="s">
        <v>378</v>
      </c>
      <c r="Y389">
        <v>1</v>
      </c>
      <c r="Z389">
        <v>1</v>
      </c>
      <c r="AA389">
        <v>29</v>
      </c>
    </row>
    <row r="390" spans="1:27" x14ac:dyDescent="0.3">
      <c r="A390" s="1" t="s">
        <v>1807</v>
      </c>
      <c r="B390">
        <v>389</v>
      </c>
      <c r="C390" s="1" t="s">
        <v>1808</v>
      </c>
      <c r="D390" s="1" t="s">
        <v>480</v>
      </c>
      <c r="E390" s="1" t="s">
        <v>29</v>
      </c>
      <c r="F390" s="1" t="s">
        <v>584</v>
      </c>
      <c r="G390" s="1" t="s">
        <v>480</v>
      </c>
      <c r="H390" s="1" t="s">
        <v>55</v>
      </c>
      <c r="I390" s="1" t="s">
        <v>32</v>
      </c>
      <c r="J390" s="1" t="s">
        <v>41</v>
      </c>
      <c r="K390" s="1" t="s">
        <v>383</v>
      </c>
      <c r="L390">
        <v>3</v>
      </c>
      <c r="M390">
        <v>0</v>
      </c>
      <c r="N390">
        <v>0</v>
      </c>
      <c r="O390">
        <v>6</v>
      </c>
      <c r="P390">
        <v>3</v>
      </c>
      <c r="Q390">
        <v>0</v>
      </c>
      <c r="R390">
        <v>0</v>
      </c>
      <c r="S390">
        <v>1</v>
      </c>
      <c r="T390">
        <v>1</v>
      </c>
      <c r="U390" s="1" t="s">
        <v>384</v>
      </c>
      <c r="V390" s="1" t="s">
        <v>385</v>
      </c>
      <c r="W390" s="1">
        <f t="shared" si="6"/>
        <v>251.43</v>
      </c>
      <c r="X390" s="1" t="s">
        <v>310</v>
      </c>
      <c r="Y390">
        <v>1</v>
      </c>
      <c r="Z390">
        <v>1</v>
      </c>
      <c r="AA390">
        <v>30</v>
      </c>
    </row>
    <row r="391" spans="1:27" x14ac:dyDescent="0.3">
      <c r="A391" s="1" t="s">
        <v>1809</v>
      </c>
      <c r="B391">
        <v>390</v>
      </c>
      <c r="C391" s="1" t="s">
        <v>1810</v>
      </c>
      <c r="D391" s="1" t="s">
        <v>592</v>
      </c>
      <c r="E391" s="1" t="s">
        <v>39</v>
      </c>
      <c r="F391" s="1" t="s">
        <v>592</v>
      </c>
      <c r="G391" s="1" t="s">
        <v>39</v>
      </c>
      <c r="H391" s="1" t="s">
        <v>63</v>
      </c>
      <c r="I391" s="1" t="s">
        <v>32</v>
      </c>
      <c r="J391" s="1" t="s">
        <v>32</v>
      </c>
      <c r="K391" s="1" t="s">
        <v>1194</v>
      </c>
      <c r="L391">
        <v>1</v>
      </c>
      <c r="M391">
        <v>2</v>
      </c>
      <c r="N391">
        <v>0</v>
      </c>
      <c r="O391">
        <v>1</v>
      </c>
      <c r="P391">
        <v>3</v>
      </c>
      <c r="Q391">
        <v>0</v>
      </c>
      <c r="R391">
        <v>0</v>
      </c>
      <c r="S391">
        <v>1</v>
      </c>
      <c r="T391">
        <v>1</v>
      </c>
      <c r="U391" s="1" t="s">
        <v>1194</v>
      </c>
      <c r="V391" s="1" t="s">
        <v>177</v>
      </c>
      <c r="W391" s="1">
        <f t="shared" si="6"/>
        <v>61.02</v>
      </c>
      <c r="X391" s="1" t="s">
        <v>1195</v>
      </c>
      <c r="Y391">
        <v>1</v>
      </c>
      <c r="Z391">
        <v>1</v>
      </c>
      <c r="AA391">
        <v>31</v>
      </c>
    </row>
    <row r="392" spans="1:27" x14ac:dyDescent="0.3">
      <c r="A392" s="1" t="s">
        <v>1811</v>
      </c>
      <c r="B392">
        <v>391</v>
      </c>
      <c r="C392" s="1" t="s">
        <v>1812</v>
      </c>
      <c r="D392" s="1" t="s">
        <v>492</v>
      </c>
      <c r="E392" s="1" t="s">
        <v>41</v>
      </c>
      <c r="F392" s="1" t="s">
        <v>597</v>
      </c>
      <c r="G392" s="1" t="s">
        <v>492</v>
      </c>
      <c r="H392" s="1" t="s">
        <v>74</v>
      </c>
      <c r="I392" s="1" t="s">
        <v>32</v>
      </c>
      <c r="J392" s="1" t="s">
        <v>74</v>
      </c>
      <c r="K392" s="1" t="s">
        <v>1813</v>
      </c>
      <c r="L392">
        <v>1</v>
      </c>
      <c r="M392">
        <v>0</v>
      </c>
      <c r="N392">
        <v>0</v>
      </c>
      <c r="O392">
        <v>2</v>
      </c>
      <c r="P392">
        <v>1</v>
      </c>
      <c r="Q392">
        <v>0</v>
      </c>
      <c r="R392">
        <v>0</v>
      </c>
      <c r="S392">
        <v>1</v>
      </c>
      <c r="T392">
        <v>1</v>
      </c>
      <c r="U392" s="1" t="s">
        <v>1814</v>
      </c>
      <c r="V392" s="1" t="s">
        <v>398</v>
      </c>
      <c r="W392" s="1">
        <f t="shared" si="6"/>
        <v>255.95</v>
      </c>
      <c r="X392" s="1" t="s">
        <v>468</v>
      </c>
      <c r="Y392">
        <v>1</v>
      </c>
      <c r="Z392">
        <v>1</v>
      </c>
      <c r="AA392">
        <v>32</v>
      </c>
    </row>
    <row r="393" spans="1:27" x14ac:dyDescent="0.3">
      <c r="A393" s="1" t="s">
        <v>1815</v>
      </c>
      <c r="B393">
        <v>392</v>
      </c>
      <c r="C393" s="1" t="s">
        <v>1816</v>
      </c>
      <c r="D393" s="1" t="s">
        <v>601</v>
      </c>
      <c r="E393" s="1" t="s">
        <v>32</v>
      </c>
      <c r="F393" s="1" t="s">
        <v>601</v>
      </c>
      <c r="G393" s="1" t="s">
        <v>495</v>
      </c>
      <c r="H393" s="1" t="s">
        <v>29</v>
      </c>
      <c r="I393" s="1" t="s">
        <v>32</v>
      </c>
      <c r="J393" s="1" t="s">
        <v>29</v>
      </c>
      <c r="K393" s="1" t="s">
        <v>404</v>
      </c>
      <c r="L393">
        <v>1</v>
      </c>
      <c r="M393">
        <v>1</v>
      </c>
      <c r="N393">
        <v>0</v>
      </c>
      <c r="O393">
        <v>3</v>
      </c>
      <c r="P393">
        <v>2</v>
      </c>
      <c r="Q393">
        <v>0</v>
      </c>
      <c r="R393">
        <v>0</v>
      </c>
      <c r="S393">
        <v>1</v>
      </c>
      <c r="T393">
        <v>1</v>
      </c>
      <c r="U393" s="1" t="s">
        <v>405</v>
      </c>
      <c r="V393" s="1" t="s">
        <v>96</v>
      </c>
      <c r="W393" s="1">
        <f t="shared" si="6"/>
        <v>229.39</v>
      </c>
      <c r="X393" s="1" t="s">
        <v>323</v>
      </c>
      <c r="Y393">
        <v>1</v>
      </c>
      <c r="Z393">
        <v>1</v>
      </c>
      <c r="AA393">
        <v>33</v>
      </c>
    </row>
    <row r="394" spans="1:27" x14ac:dyDescent="0.3">
      <c r="A394" s="1" t="s">
        <v>1817</v>
      </c>
      <c r="B394">
        <v>393</v>
      </c>
      <c r="C394" s="1" t="s">
        <v>1818</v>
      </c>
      <c r="D394" s="1" t="s">
        <v>502</v>
      </c>
      <c r="E394" s="1" t="s">
        <v>29</v>
      </c>
      <c r="F394" s="1" t="s">
        <v>502</v>
      </c>
      <c r="G394" s="1" t="s">
        <v>502</v>
      </c>
      <c r="H394" s="1" t="s">
        <v>32</v>
      </c>
      <c r="I394" s="1" t="s">
        <v>32</v>
      </c>
      <c r="J394" s="1" t="s">
        <v>75</v>
      </c>
      <c r="K394" s="1" t="s">
        <v>409</v>
      </c>
      <c r="L394">
        <v>2</v>
      </c>
      <c r="M394">
        <v>0</v>
      </c>
      <c r="N394">
        <v>0</v>
      </c>
      <c r="O394">
        <v>4</v>
      </c>
      <c r="P394">
        <v>2</v>
      </c>
      <c r="Q394">
        <v>0</v>
      </c>
      <c r="R394">
        <v>0</v>
      </c>
      <c r="S394">
        <v>1</v>
      </c>
      <c r="T394">
        <v>1</v>
      </c>
      <c r="U394" s="1" t="s">
        <v>409</v>
      </c>
      <c r="V394" s="1" t="s">
        <v>104</v>
      </c>
      <c r="W394" s="1">
        <f t="shared" si="6"/>
        <v>76.84</v>
      </c>
      <c r="X394" s="1" t="s">
        <v>410</v>
      </c>
      <c r="Y394">
        <v>1</v>
      </c>
      <c r="Z394">
        <v>1</v>
      </c>
      <c r="AA394">
        <v>34</v>
      </c>
    </row>
    <row r="395" spans="1:27" x14ac:dyDescent="0.3">
      <c r="A395" s="1" t="s">
        <v>1819</v>
      </c>
      <c r="B395">
        <v>394</v>
      </c>
      <c r="C395" s="1" t="s">
        <v>1820</v>
      </c>
      <c r="D395" s="1" t="s">
        <v>1821</v>
      </c>
      <c r="E395" s="1" t="s">
        <v>39</v>
      </c>
      <c r="F395" s="1" t="s">
        <v>609</v>
      </c>
      <c r="G395" s="1" t="s">
        <v>506</v>
      </c>
      <c r="H395" s="1" t="s">
        <v>41</v>
      </c>
      <c r="I395" s="1" t="s">
        <v>32</v>
      </c>
      <c r="J395" s="1" t="s">
        <v>41</v>
      </c>
      <c r="K395" s="1" t="s">
        <v>414</v>
      </c>
      <c r="L395">
        <v>2</v>
      </c>
      <c r="M395">
        <v>0</v>
      </c>
      <c r="N395">
        <v>0</v>
      </c>
      <c r="O395">
        <v>5</v>
      </c>
      <c r="P395">
        <v>2</v>
      </c>
      <c r="Q395">
        <v>0</v>
      </c>
      <c r="R395">
        <v>0</v>
      </c>
      <c r="S395">
        <v>1</v>
      </c>
      <c r="T395">
        <v>1</v>
      </c>
      <c r="U395" s="1" t="s">
        <v>415</v>
      </c>
      <c r="V395" s="1" t="s">
        <v>111</v>
      </c>
      <c r="W395" s="1">
        <f t="shared" si="6"/>
        <v>80.229999999999905</v>
      </c>
      <c r="X395" s="1" t="s">
        <v>416</v>
      </c>
      <c r="Y395">
        <v>1</v>
      </c>
      <c r="Z395">
        <v>1</v>
      </c>
      <c r="AA395">
        <v>35</v>
      </c>
    </row>
    <row r="396" spans="1:27" x14ac:dyDescent="0.3">
      <c r="A396" s="1" t="s">
        <v>1822</v>
      </c>
      <c r="B396">
        <v>395</v>
      </c>
      <c r="C396" s="1" t="s">
        <v>1823</v>
      </c>
      <c r="D396" s="1" t="s">
        <v>1824</v>
      </c>
      <c r="E396" s="1" t="s">
        <v>41</v>
      </c>
      <c r="F396" s="1" t="s">
        <v>395</v>
      </c>
      <c r="G396" s="1" t="s">
        <v>513</v>
      </c>
      <c r="H396" s="1" t="s">
        <v>48</v>
      </c>
      <c r="I396" s="1" t="s">
        <v>32</v>
      </c>
      <c r="J396" s="1" t="s">
        <v>32</v>
      </c>
      <c r="K396" s="1" t="s">
        <v>1825</v>
      </c>
      <c r="L396">
        <v>2</v>
      </c>
      <c r="M396">
        <v>0</v>
      </c>
      <c r="N396">
        <v>0</v>
      </c>
      <c r="O396">
        <v>6</v>
      </c>
      <c r="P396">
        <v>2</v>
      </c>
      <c r="Q396">
        <v>0</v>
      </c>
      <c r="R396">
        <v>0</v>
      </c>
      <c r="S396">
        <v>1</v>
      </c>
      <c r="T396">
        <v>1</v>
      </c>
      <c r="U396" s="1" t="s">
        <v>1826</v>
      </c>
      <c r="V396" s="1" t="s">
        <v>169</v>
      </c>
      <c r="W396" s="1">
        <f t="shared" si="6"/>
        <v>270.07</v>
      </c>
      <c r="X396" s="1" t="s">
        <v>1213</v>
      </c>
      <c r="Y396">
        <v>1</v>
      </c>
      <c r="Z396">
        <v>1</v>
      </c>
      <c r="AA396">
        <v>36</v>
      </c>
    </row>
    <row r="397" spans="1:27" x14ac:dyDescent="0.3">
      <c r="A397" s="1" t="s">
        <v>1827</v>
      </c>
      <c r="B397">
        <v>396</v>
      </c>
      <c r="C397" s="1" t="s">
        <v>1828</v>
      </c>
      <c r="D397" s="1" t="s">
        <v>1829</v>
      </c>
      <c r="E397" s="1" t="s">
        <v>32</v>
      </c>
      <c r="F397" s="1" t="s">
        <v>403</v>
      </c>
      <c r="G397" s="1" t="s">
        <v>48</v>
      </c>
      <c r="H397" s="1" t="s">
        <v>55</v>
      </c>
      <c r="I397" s="1" t="s">
        <v>32</v>
      </c>
      <c r="J397" s="1" t="s">
        <v>74</v>
      </c>
      <c r="K397" s="1" t="s">
        <v>496</v>
      </c>
      <c r="L397">
        <v>3</v>
      </c>
      <c r="M397">
        <v>2</v>
      </c>
      <c r="N397">
        <v>1</v>
      </c>
      <c r="O397">
        <v>1</v>
      </c>
      <c r="P397">
        <v>6</v>
      </c>
      <c r="Q397">
        <v>0</v>
      </c>
      <c r="R397">
        <v>0</v>
      </c>
      <c r="S397">
        <v>1</v>
      </c>
      <c r="T397">
        <v>1</v>
      </c>
      <c r="U397" s="1" t="s">
        <v>496</v>
      </c>
      <c r="V397" s="1" t="s">
        <v>127</v>
      </c>
      <c r="W397" s="1">
        <f t="shared" si="6"/>
        <v>47.46</v>
      </c>
      <c r="X397" s="1" t="s">
        <v>497</v>
      </c>
      <c r="Y397">
        <v>1</v>
      </c>
      <c r="Z397">
        <v>1</v>
      </c>
      <c r="AA397">
        <v>37</v>
      </c>
    </row>
    <row r="398" spans="1:27" x14ac:dyDescent="0.3">
      <c r="A398" s="1" t="s">
        <v>1830</v>
      </c>
      <c r="B398">
        <v>397</v>
      </c>
      <c r="C398" s="1" t="s">
        <v>1831</v>
      </c>
      <c r="D398" s="1" t="s">
        <v>1832</v>
      </c>
      <c r="E398" s="1" t="s">
        <v>29</v>
      </c>
      <c r="F398" s="1" t="s">
        <v>623</v>
      </c>
      <c r="G398" s="1" t="s">
        <v>524</v>
      </c>
      <c r="H398" s="1" t="s">
        <v>63</v>
      </c>
      <c r="I398" s="1" t="s">
        <v>32</v>
      </c>
      <c r="J398" s="1" t="s">
        <v>29</v>
      </c>
      <c r="K398" s="1" t="s">
        <v>1257</v>
      </c>
      <c r="L398">
        <v>3</v>
      </c>
      <c r="M398">
        <v>0</v>
      </c>
      <c r="N398">
        <v>0</v>
      </c>
      <c r="O398">
        <v>2</v>
      </c>
      <c r="P398">
        <v>3</v>
      </c>
      <c r="Q398">
        <v>0</v>
      </c>
      <c r="R398">
        <v>0</v>
      </c>
      <c r="S398">
        <v>1</v>
      </c>
      <c r="T398">
        <v>1</v>
      </c>
      <c r="U398" s="1" t="s">
        <v>1258</v>
      </c>
      <c r="V398" s="1" t="s">
        <v>1259</v>
      </c>
      <c r="W398" s="1">
        <f t="shared" si="6"/>
        <v>292.22000000000003</v>
      </c>
      <c r="X398" s="1" t="s">
        <v>626</v>
      </c>
      <c r="Y398">
        <v>1</v>
      </c>
      <c r="Z398">
        <v>1</v>
      </c>
      <c r="AA398">
        <v>38</v>
      </c>
    </row>
    <row r="399" spans="1:27" x14ac:dyDescent="0.3">
      <c r="A399" s="1" t="s">
        <v>1833</v>
      </c>
      <c r="B399">
        <v>398</v>
      </c>
      <c r="C399" s="1" t="s">
        <v>1834</v>
      </c>
      <c r="D399" s="1" t="s">
        <v>1835</v>
      </c>
      <c r="E399" s="1" t="s">
        <v>39</v>
      </c>
      <c r="F399" s="1" t="s">
        <v>629</v>
      </c>
      <c r="G399" s="1" t="s">
        <v>529</v>
      </c>
      <c r="H399" s="1" t="s">
        <v>74</v>
      </c>
      <c r="I399" s="1" t="s">
        <v>32</v>
      </c>
      <c r="J399" s="1" t="s">
        <v>75</v>
      </c>
      <c r="K399" s="1" t="s">
        <v>1836</v>
      </c>
      <c r="L399">
        <v>3</v>
      </c>
      <c r="M399">
        <v>0</v>
      </c>
      <c r="N399">
        <v>0</v>
      </c>
      <c r="O399">
        <v>3</v>
      </c>
      <c r="P399">
        <v>3</v>
      </c>
      <c r="Q399">
        <v>0</v>
      </c>
      <c r="R399">
        <v>0</v>
      </c>
      <c r="S399">
        <v>1</v>
      </c>
      <c r="T399">
        <v>1</v>
      </c>
      <c r="U399" s="1" t="s">
        <v>1837</v>
      </c>
      <c r="V399" s="1" t="s">
        <v>1266</v>
      </c>
      <c r="W399" s="1">
        <f t="shared" si="6"/>
        <v>192.78</v>
      </c>
      <c r="X399" s="1" t="s">
        <v>510</v>
      </c>
      <c r="Y399">
        <v>1</v>
      </c>
      <c r="Z399">
        <v>1</v>
      </c>
      <c r="AA399">
        <v>39</v>
      </c>
    </row>
    <row r="400" spans="1:27" x14ac:dyDescent="0.3">
      <c r="A400" s="1" t="s">
        <v>1838</v>
      </c>
      <c r="B400">
        <v>399</v>
      </c>
      <c r="C400" s="1" t="s">
        <v>1839</v>
      </c>
      <c r="D400" s="1" t="s">
        <v>1840</v>
      </c>
      <c r="E400" s="1" t="s">
        <v>41</v>
      </c>
      <c r="F400" s="1" t="s">
        <v>533</v>
      </c>
      <c r="G400" s="1" t="s">
        <v>535</v>
      </c>
      <c r="H400" s="1" t="s">
        <v>29</v>
      </c>
      <c r="I400" s="1" t="s">
        <v>32</v>
      </c>
      <c r="J400" s="1" t="s">
        <v>41</v>
      </c>
      <c r="K400" s="1" t="s">
        <v>370</v>
      </c>
      <c r="L400">
        <v>3</v>
      </c>
      <c r="M400">
        <v>0</v>
      </c>
      <c r="N400">
        <v>0</v>
      </c>
      <c r="O400">
        <v>4</v>
      </c>
      <c r="P400">
        <v>3</v>
      </c>
      <c r="Q400">
        <v>0</v>
      </c>
      <c r="R400">
        <v>0</v>
      </c>
      <c r="S400">
        <v>1</v>
      </c>
      <c r="T400">
        <v>1</v>
      </c>
      <c r="U400" s="1" t="s">
        <v>370</v>
      </c>
      <c r="V400" s="1" t="s">
        <v>152</v>
      </c>
      <c r="W400" s="1">
        <f t="shared" si="6"/>
        <v>63.28</v>
      </c>
      <c r="X400" s="1" t="s">
        <v>371</v>
      </c>
      <c r="Y400">
        <v>1</v>
      </c>
      <c r="Z400">
        <v>1</v>
      </c>
      <c r="AA400">
        <v>40</v>
      </c>
    </row>
    <row r="401" spans="1:27" x14ac:dyDescent="0.3">
      <c r="A401" s="1" t="s">
        <v>1841</v>
      </c>
      <c r="B401">
        <v>400</v>
      </c>
      <c r="C401" s="1" t="s">
        <v>1842</v>
      </c>
      <c r="D401" s="1" t="s">
        <v>540</v>
      </c>
      <c r="E401" s="1" t="s">
        <v>32</v>
      </c>
      <c r="F401" s="1" t="s">
        <v>540</v>
      </c>
      <c r="G401" s="1" t="s">
        <v>540</v>
      </c>
      <c r="H401" s="1" t="s">
        <v>32</v>
      </c>
      <c r="I401" s="1" t="s">
        <v>32</v>
      </c>
      <c r="J401" s="1" t="s">
        <v>32</v>
      </c>
      <c r="K401" s="1" t="s">
        <v>642</v>
      </c>
      <c r="L401">
        <v>1</v>
      </c>
      <c r="M401">
        <v>1</v>
      </c>
      <c r="N401">
        <v>0</v>
      </c>
      <c r="O401">
        <v>5</v>
      </c>
      <c r="P401">
        <v>2</v>
      </c>
      <c r="Q401">
        <v>0</v>
      </c>
      <c r="R401">
        <v>0</v>
      </c>
      <c r="S401">
        <v>1</v>
      </c>
      <c r="T401">
        <v>1</v>
      </c>
      <c r="U401" s="1" t="s">
        <v>643</v>
      </c>
      <c r="V401" s="1" t="s">
        <v>161</v>
      </c>
      <c r="W401" s="1">
        <f t="shared" si="6"/>
        <v>66.67</v>
      </c>
      <c r="X401" s="1" t="s">
        <v>644</v>
      </c>
      <c r="Y401">
        <v>1</v>
      </c>
      <c r="Z401">
        <v>1</v>
      </c>
      <c r="AA401">
        <v>41</v>
      </c>
    </row>
    <row r="402" spans="1:27" x14ac:dyDescent="0.3">
      <c r="A402" s="1" t="s">
        <v>1843</v>
      </c>
      <c r="B402">
        <v>401</v>
      </c>
      <c r="C402" s="1" t="s">
        <v>1844</v>
      </c>
      <c r="D402" s="1" t="s">
        <v>1845</v>
      </c>
      <c r="E402" s="1" t="s">
        <v>29</v>
      </c>
      <c r="F402" s="1" t="s">
        <v>647</v>
      </c>
      <c r="G402" s="1" t="s">
        <v>547</v>
      </c>
      <c r="H402" s="1" t="s">
        <v>41</v>
      </c>
      <c r="I402" s="1" t="s">
        <v>33</v>
      </c>
      <c r="J402" s="1" t="s">
        <v>33</v>
      </c>
      <c r="K402" s="1" t="s">
        <v>34</v>
      </c>
      <c r="L402">
        <v>1</v>
      </c>
      <c r="M402">
        <v>0</v>
      </c>
      <c r="N402">
        <v>0</v>
      </c>
      <c r="O402">
        <v>6</v>
      </c>
      <c r="P402">
        <v>1</v>
      </c>
      <c r="Q402">
        <v>1</v>
      </c>
      <c r="R402">
        <v>0</v>
      </c>
      <c r="S402">
        <v>0</v>
      </c>
      <c r="T402">
        <v>0</v>
      </c>
      <c r="U402" s="1" t="s">
        <v>310</v>
      </c>
      <c r="V402" s="1">
        <v>0</v>
      </c>
      <c r="W402" s="1">
        <f t="shared" si="6"/>
        <v>0</v>
      </c>
      <c r="X402" s="1" t="s">
        <v>310</v>
      </c>
      <c r="Y402">
        <v>1</v>
      </c>
      <c r="Z402">
        <v>0</v>
      </c>
      <c r="AA402">
        <v>42</v>
      </c>
    </row>
    <row r="403" spans="1:27" x14ac:dyDescent="0.3">
      <c r="A403" s="1" t="s">
        <v>1846</v>
      </c>
      <c r="B403">
        <v>402</v>
      </c>
      <c r="C403" s="1" t="s">
        <v>1847</v>
      </c>
      <c r="D403" s="1" t="s">
        <v>1848</v>
      </c>
      <c r="E403" s="1" t="s">
        <v>39</v>
      </c>
      <c r="F403" s="1" t="s">
        <v>651</v>
      </c>
      <c r="G403" s="1" t="s">
        <v>551</v>
      </c>
      <c r="H403" s="1" t="s">
        <v>48</v>
      </c>
      <c r="I403" s="1" t="s">
        <v>33</v>
      </c>
      <c r="J403" s="1" t="s">
        <v>33</v>
      </c>
      <c r="K403" s="1" t="s">
        <v>34</v>
      </c>
      <c r="L403">
        <v>1</v>
      </c>
      <c r="M403">
        <v>2</v>
      </c>
      <c r="N403">
        <v>0</v>
      </c>
      <c r="O403">
        <v>1</v>
      </c>
      <c r="P403">
        <v>3</v>
      </c>
      <c r="Q403">
        <v>1</v>
      </c>
      <c r="R403">
        <v>0</v>
      </c>
      <c r="S403">
        <v>0</v>
      </c>
      <c r="T403">
        <v>0</v>
      </c>
      <c r="U403" s="1" t="s">
        <v>314</v>
      </c>
      <c r="V403" s="1">
        <v>0</v>
      </c>
      <c r="W403" s="1">
        <f t="shared" si="6"/>
        <v>0</v>
      </c>
      <c r="X403" s="1" t="s">
        <v>314</v>
      </c>
      <c r="Y403">
        <v>1</v>
      </c>
      <c r="Z403">
        <v>0</v>
      </c>
      <c r="AA403">
        <v>43</v>
      </c>
    </row>
    <row r="404" spans="1:27" x14ac:dyDescent="0.3">
      <c r="A404" s="1" t="s">
        <v>1849</v>
      </c>
      <c r="B404">
        <v>403</v>
      </c>
      <c r="C404" s="1" t="s">
        <v>1850</v>
      </c>
      <c r="D404" s="1" t="s">
        <v>657</v>
      </c>
      <c r="E404" s="1" t="s">
        <v>41</v>
      </c>
      <c r="F404" s="1" t="s">
        <v>657</v>
      </c>
      <c r="G404" s="1" t="s">
        <v>555</v>
      </c>
      <c r="H404" s="1" t="s">
        <v>55</v>
      </c>
      <c r="I404" s="1" t="s">
        <v>33</v>
      </c>
      <c r="J404" s="1" t="s">
        <v>33</v>
      </c>
      <c r="K404" s="1" t="s">
        <v>34</v>
      </c>
      <c r="L404">
        <v>2</v>
      </c>
      <c r="M404">
        <v>0</v>
      </c>
      <c r="N404">
        <v>0</v>
      </c>
      <c r="O404">
        <v>2</v>
      </c>
      <c r="P404">
        <v>2</v>
      </c>
      <c r="Q404">
        <v>1</v>
      </c>
      <c r="R404">
        <v>0</v>
      </c>
      <c r="S404">
        <v>0</v>
      </c>
      <c r="T404">
        <v>0</v>
      </c>
      <c r="U404" s="1" t="s">
        <v>319</v>
      </c>
      <c r="V404" s="1">
        <v>0</v>
      </c>
      <c r="W404" s="1">
        <f t="shared" si="6"/>
        <v>0</v>
      </c>
      <c r="X404" s="1" t="s">
        <v>319</v>
      </c>
      <c r="Y404">
        <v>1</v>
      </c>
      <c r="Z404">
        <v>0</v>
      </c>
      <c r="AA404">
        <v>44</v>
      </c>
    </row>
    <row r="405" spans="1:27" x14ac:dyDescent="0.3">
      <c r="A405" s="1" t="s">
        <v>1851</v>
      </c>
      <c r="B405">
        <v>404</v>
      </c>
      <c r="C405" s="1" t="s">
        <v>1852</v>
      </c>
      <c r="D405" s="1" t="s">
        <v>560</v>
      </c>
      <c r="E405" s="1" t="s">
        <v>32</v>
      </c>
      <c r="F405" s="1" t="s">
        <v>662</v>
      </c>
      <c r="G405" s="1" t="s">
        <v>560</v>
      </c>
      <c r="H405" s="1" t="s">
        <v>63</v>
      </c>
      <c r="I405" s="1" t="s">
        <v>56</v>
      </c>
      <c r="J405" s="1" t="s">
        <v>33</v>
      </c>
      <c r="K405" s="1" t="s">
        <v>34</v>
      </c>
      <c r="L405">
        <v>2</v>
      </c>
      <c r="M405">
        <v>1</v>
      </c>
      <c r="N405">
        <v>0</v>
      </c>
      <c r="O405">
        <v>3</v>
      </c>
      <c r="P405">
        <v>3</v>
      </c>
      <c r="Q405">
        <v>0</v>
      </c>
      <c r="R405">
        <v>1</v>
      </c>
      <c r="S405">
        <v>0</v>
      </c>
      <c r="T405">
        <v>0</v>
      </c>
      <c r="U405" s="1" t="s">
        <v>323</v>
      </c>
      <c r="V405" s="1">
        <v>0</v>
      </c>
      <c r="W405" s="1">
        <f t="shared" si="6"/>
        <v>0</v>
      </c>
      <c r="X405" s="1" t="s">
        <v>323</v>
      </c>
      <c r="Y405">
        <v>1</v>
      </c>
      <c r="Z405">
        <v>0</v>
      </c>
      <c r="AA405">
        <v>45</v>
      </c>
    </row>
    <row r="406" spans="1:27" x14ac:dyDescent="0.3">
      <c r="A406" s="1" t="s">
        <v>1853</v>
      </c>
      <c r="B406">
        <v>405</v>
      </c>
      <c r="C406" s="1" t="s">
        <v>1854</v>
      </c>
      <c r="D406" s="1" t="s">
        <v>666</v>
      </c>
      <c r="E406" s="1" t="s">
        <v>29</v>
      </c>
      <c r="F406" s="1" t="s">
        <v>666</v>
      </c>
      <c r="G406" s="1" t="s">
        <v>566</v>
      </c>
      <c r="H406" s="1" t="s">
        <v>74</v>
      </c>
      <c r="I406" s="1" t="s">
        <v>64</v>
      </c>
      <c r="J406" s="1" t="s">
        <v>29</v>
      </c>
      <c r="K406" s="1" t="s">
        <v>1855</v>
      </c>
      <c r="L406">
        <v>2</v>
      </c>
      <c r="M406">
        <v>0</v>
      </c>
      <c r="N406">
        <v>0</v>
      </c>
      <c r="O406">
        <v>4</v>
      </c>
      <c r="P406">
        <v>2</v>
      </c>
      <c r="Q406">
        <v>0</v>
      </c>
      <c r="R406">
        <v>0</v>
      </c>
      <c r="S406">
        <v>0</v>
      </c>
      <c r="T406">
        <v>0</v>
      </c>
      <c r="U406" s="1" t="s">
        <v>1856</v>
      </c>
      <c r="V406" s="1" t="s">
        <v>482</v>
      </c>
      <c r="W406" s="1">
        <f t="shared" si="6"/>
        <v>69.16</v>
      </c>
      <c r="X406" s="1" t="s">
        <v>330</v>
      </c>
      <c r="Y406">
        <v>1</v>
      </c>
      <c r="Z406">
        <v>0</v>
      </c>
      <c r="AA406">
        <v>46</v>
      </c>
    </row>
    <row r="407" spans="1:27" x14ac:dyDescent="0.3">
      <c r="A407" s="1" t="s">
        <v>1857</v>
      </c>
      <c r="B407">
        <v>406</v>
      </c>
      <c r="C407" s="1" t="s">
        <v>1858</v>
      </c>
      <c r="D407" s="1" t="s">
        <v>1859</v>
      </c>
      <c r="E407" s="1" t="s">
        <v>39</v>
      </c>
      <c r="F407" s="1" t="s">
        <v>674</v>
      </c>
      <c r="G407" s="1" t="s">
        <v>573</v>
      </c>
      <c r="H407" s="1" t="s">
        <v>29</v>
      </c>
      <c r="I407" s="1" t="s">
        <v>64</v>
      </c>
      <c r="J407" s="1" t="s">
        <v>75</v>
      </c>
      <c r="K407" s="1" t="s">
        <v>335</v>
      </c>
      <c r="L407">
        <v>3</v>
      </c>
      <c r="M407">
        <v>0</v>
      </c>
      <c r="N407">
        <v>0</v>
      </c>
      <c r="O407">
        <v>5</v>
      </c>
      <c r="P407">
        <v>3</v>
      </c>
      <c r="Q407">
        <v>0</v>
      </c>
      <c r="R407">
        <v>0</v>
      </c>
      <c r="S407">
        <v>0</v>
      </c>
      <c r="T407">
        <v>0</v>
      </c>
      <c r="U407" s="1" t="s">
        <v>336</v>
      </c>
      <c r="V407" s="1" t="s">
        <v>304</v>
      </c>
      <c r="W407" s="1">
        <f t="shared" si="6"/>
        <v>64.41</v>
      </c>
      <c r="X407" s="1" t="s">
        <v>337</v>
      </c>
      <c r="Y407">
        <v>1</v>
      </c>
      <c r="Z407">
        <v>0</v>
      </c>
      <c r="AA407">
        <v>47</v>
      </c>
    </row>
    <row r="408" spans="1:27" x14ac:dyDescent="0.3">
      <c r="A408" s="1" t="s">
        <v>1860</v>
      </c>
      <c r="B408">
        <v>407</v>
      </c>
      <c r="C408" s="1" t="s">
        <v>1861</v>
      </c>
      <c r="D408" s="1" t="s">
        <v>681</v>
      </c>
      <c r="E408" s="1" t="s">
        <v>41</v>
      </c>
      <c r="F408" s="1" t="s">
        <v>681</v>
      </c>
      <c r="G408" s="1" t="s">
        <v>578</v>
      </c>
      <c r="H408" s="1" t="s">
        <v>32</v>
      </c>
      <c r="I408" s="1" t="s">
        <v>32</v>
      </c>
      <c r="J408" s="1" t="s">
        <v>75</v>
      </c>
      <c r="K408" s="1" t="s">
        <v>421</v>
      </c>
      <c r="L408">
        <v>3</v>
      </c>
      <c r="M408">
        <v>0</v>
      </c>
      <c r="N408">
        <v>0</v>
      </c>
      <c r="O408">
        <v>6</v>
      </c>
      <c r="P408">
        <v>3</v>
      </c>
      <c r="Q408">
        <v>0</v>
      </c>
      <c r="R408">
        <v>0</v>
      </c>
      <c r="S408">
        <v>1</v>
      </c>
      <c r="T408">
        <v>1</v>
      </c>
      <c r="U408" s="1" t="s">
        <v>422</v>
      </c>
      <c r="V408" s="1" t="s">
        <v>169</v>
      </c>
      <c r="W408" s="1">
        <f t="shared" si="6"/>
        <v>270.07</v>
      </c>
      <c r="X408" s="1" t="s">
        <v>346</v>
      </c>
      <c r="Y408">
        <v>1</v>
      </c>
      <c r="Z408">
        <v>1</v>
      </c>
      <c r="AA408">
        <v>48</v>
      </c>
    </row>
    <row r="409" spans="1:27" x14ac:dyDescent="0.3">
      <c r="A409" s="1" t="s">
        <v>1862</v>
      </c>
      <c r="B409">
        <v>408</v>
      </c>
      <c r="C409" s="1" t="s">
        <v>1863</v>
      </c>
      <c r="D409" s="1" t="s">
        <v>1864</v>
      </c>
      <c r="E409" s="1" t="s">
        <v>32</v>
      </c>
      <c r="F409" s="1" t="s">
        <v>688</v>
      </c>
      <c r="G409" s="1" t="s">
        <v>581</v>
      </c>
      <c r="H409" s="1" t="s">
        <v>41</v>
      </c>
      <c r="I409" s="1" t="s">
        <v>32</v>
      </c>
      <c r="J409" s="1" t="s">
        <v>41</v>
      </c>
      <c r="K409" s="1" t="s">
        <v>462</v>
      </c>
      <c r="L409">
        <v>3</v>
      </c>
      <c r="M409">
        <v>2</v>
      </c>
      <c r="N409">
        <v>1</v>
      </c>
      <c r="O409">
        <v>1</v>
      </c>
      <c r="P409">
        <v>6</v>
      </c>
      <c r="Q409">
        <v>0</v>
      </c>
      <c r="R409">
        <v>0</v>
      </c>
      <c r="S409">
        <v>1</v>
      </c>
      <c r="T409">
        <v>1</v>
      </c>
      <c r="U409" s="1" t="s">
        <v>462</v>
      </c>
      <c r="V409" s="1" t="s">
        <v>127</v>
      </c>
      <c r="W409" s="1">
        <f t="shared" si="6"/>
        <v>47.46</v>
      </c>
      <c r="X409" s="1" t="s">
        <v>354</v>
      </c>
      <c r="Y409">
        <v>1</v>
      </c>
      <c r="Z409">
        <v>1</v>
      </c>
      <c r="AA409">
        <v>49</v>
      </c>
    </row>
    <row r="410" spans="1:27" x14ac:dyDescent="0.3">
      <c r="A410" s="1" t="s">
        <v>1865</v>
      </c>
      <c r="B410">
        <v>409</v>
      </c>
      <c r="C410" s="1" t="s">
        <v>1866</v>
      </c>
      <c r="D410" s="1" t="s">
        <v>585</v>
      </c>
      <c r="E410" s="1" t="s">
        <v>29</v>
      </c>
      <c r="F410" s="1" t="s">
        <v>585</v>
      </c>
      <c r="G410" s="1" t="s">
        <v>585</v>
      </c>
      <c r="H410" s="1" t="s">
        <v>48</v>
      </c>
      <c r="I410" s="1" t="s">
        <v>32</v>
      </c>
      <c r="J410" s="1" t="s">
        <v>32</v>
      </c>
      <c r="K410" s="1" t="s">
        <v>359</v>
      </c>
      <c r="L410">
        <v>3</v>
      </c>
      <c r="M410">
        <v>0</v>
      </c>
      <c r="N410">
        <v>0</v>
      </c>
      <c r="O410">
        <v>2</v>
      </c>
      <c r="P410">
        <v>3</v>
      </c>
      <c r="Q410">
        <v>0</v>
      </c>
      <c r="R410">
        <v>0</v>
      </c>
      <c r="S410">
        <v>1</v>
      </c>
      <c r="T410">
        <v>1</v>
      </c>
      <c r="U410" s="1" t="s">
        <v>360</v>
      </c>
      <c r="V410" s="1" t="s">
        <v>288</v>
      </c>
      <c r="W410" s="1">
        <f t="shared" si="6"/>
        <v>301.70999999999998</v>
      </c>
      <c r="X410" s="1" t="s">
        <v>361</v>
      </c>
      <c r="Y410">
        <v>1</v>
      </c>
      <c r="Z410">
        <v>1</v>
      </c>
      <c r="AA410">
        <v>50</v>
      </c>
    </row>
    <row r="411" spans="1:27" x14ac:dyDescent="0.3">
      <c r="A411" s="1" t="s">
        <v>1867</v>
      </c>
      <c r="B411">
        <v>410</v>
      </c>
      <c r="C411" s="1" t="s">
        <v>1868</v>
      </c>
      <c r="D411" s="1" t="s">
        <v>1869</v>
      </c>
      <c r="E411" s="1" t="s">
        <v>39</v>
      </c>
      <c r="F411" s="1" t="s">
        <v>702</v>
      </c>
      <c r="G411" s="1" t="s">
        <v>591</v>
      </c>
      <c r="H411" s="1" t="s">
        <v>55</v>
      </c>
      <c r="I411" s="1" t="s">
        <v>32</v>
      </c>
      <c r="J411" s="1" t="s">
        <v>74</v>
      </c>
      <c r="K411" s="1" t="s">
        <v>1870</v>
      </c>
      <c r="L411">
        <v>1</v>
      </c>
      <c r="M411">
        <v>0</v>
      </c>
      <c r="N411">
        <v>0</v>
      </c>
      <c r="O411">
        <v>3</v>
      </c>
      <c r="P411">
        <v>1</v>
      </c>
      <c r="Q411">
        <v>0</v>
      </c>
      <c r="R411">
        <v>0</v>
      </c>
      <c r="S411">
        <v>1</v>
      </c>
      <c r="T411">
        <v>1</v>
      </c>
      <c r="U411" s="1" t="s">
        <v>1871</v>
      </c>
      <c r="V411" s="1" t="s">
        <v>509</v>
      </c>
      <c r="W411" s="1">
        <f t="shared" si="6"/>
        <v>197.85999999999899</v>
      </c>
      <c r="X411" s="1" t="s">
        <v>367</v>
      </c>
      <c r="Y411">
        <v>1</v>
      </c>
      <c r="Z411">
        <v>1</v>
      </c>
      <c r="AA411">
        <v>51</v>
      </c>
    </row>
    <row r="412" spans="1:27" x14ac:dyDescent="0.3">
      <c r="A412" s="1" t="s">
        <v>1872</v>
      </c>
      <c r="B412">
        <v>411</v>
      </c>
      <c r="C412" s="1" t="s">
        <v>1873</v>
      </c>
      <c r="D412" s="1" t="s">
        <v>1874</v>
      </c>
      <c r="E412" s="1" t="s">
        <v>41</v>
      </c>
      <c r="F412" s="1" t="s">
        <v>711</v>
      </c>
      <c r="G412" s="1" t="s">
        <v>597</v>
      </c>
      <c r="H412" s="1" t="s">
        <v>63</v>
      </c>
      <c r="I412" s="1" t="s">
        <v>32</v>
      </c>
      <c r="J412" s="1" t="s">
        <v>29</v>
      </c>
      <c r="K412" s="1" t="s">
        <v>370</v>
      </c>
      <c r="L412">
        <v>1</v>
      </c>
      <c r="M412">
        <v>0</v>
      </c>
      <c r="N412">
        <v>0</v>
      </c>
      <c r="O412">
        <v>4</v>
      </c>
      <c r="P412">
        <v>1</v>
      </c>
      <c r="Q412">
        <v>0</v>
      </c>
      <c r="R412">
        <v>0</v>
      </c>
      <c r="S412">
        <v>1</v>
      </c>
      <c r="T412">
        <v>1</v>
      </c>
      <c r="U412" s="1" t="s">
        <v>370</v>
      </c>
      <c r="V412" s="1" t="s">
        <v>152</v>
      </c>
      <c r="W412" s="1">
        <f t="shared" si="6"/>
        <v>63.28</v>
      </c>
      <c r="X412" s="1" t="s">
        <v>371</v>
      </c>
      <c r="Y412">
        <v>1</v>
      </c>
      <c r="Z412">
        <v>1</v>
      </c>
      <c r="AA412">
        <v>52</v>
      </c>
    </row>
    <row r="413" spans="1:27" x14ac:dyDescent="0.3">
      <c r="A413" s="1" t="s">
        <v>1875</v>
      </c>
      <c r="B413">
        <v>412</v>
      </c>
      <c r="C413" s="1" t="s">
        <v>1876</v>
      </c>
      <c r="D413" s="1" t="s">
        <v>717</v>
      </c>
      <c r="E413" s="1" t="s">
        <v>32</v>
      </c>
      <c r="F413" s="1" t="s">
        <v>717</v>
      </c>
      <c r="G413" s="1" t="s">
        <v>602</v>
      </c>
      <c r="H413" s="1" t="s">
        <v>74</v>
      </c>
      <c r="I413" s="1" t="s">
        <v>32</v>
      </c>
      <c r="J413" s="1" t="s">
        <v>75</v>
      </c>
      <c r="K413" s="1" t="s">
        <v>518</v>
      </c>
      <c r="L413">
        <v>1</v>
      </c>
      <c r="M413">
        <v>1</v>
      </c>
      <c r="N413">
        <v>0</v>
      </c>
      <c r="O413">
        <v>5</v>
      </c>
      <c r="P413">
        <v>2</v>
      </c>
      <c r="Q413">
        <v>0</v>
      </c>
      <c r="R413">
        <v>0</v>
      </c>
      <c r="S413">
        <v>1</v>
      </c>
      <c r="T413">
        <v>1</v>
      </c>
      <c r="U413" s="1" t="s">
        <v>519</v>
      </c>
      <c r="V413" s="1" t="s">
        <v>520</v>
      </c>
      <c r="W413" s="1">
        <f t="shared" si="6"/>
        <v>62.26</v>
      </c>
      <c r="X413" s="1" t="s">
        <v>378</v>
      </c>
      <c r="Y413">
        <v>1</v>
      </c>
      <c r="Z413">
        <v>1</v>
      </c>
      <c r="AA413">
        <v>53</v>
      </c>
    </row>
    <row r="414" spans="1:27" x14ac:dyDescent="0.3">
      <c r="A414" s="1" t="s">
        <v>1877</v>
      </c>
      <c r="B414">
        <v>413</v>
      </c>
      <c r="C414" s="1" t="s">
        <v>1878</v>
      </c>
      <c r="D414" s="1" t="s">
        <v>1879</v>
      </c>
      <c r="E414" s="1" t="s">
        <v>29</v>
      </c>
      <c r="F414" s="1" t="s">
        <v>724</v>
      </c>
      <c r="G414" s="1" t="s">
        <v>605</v>
      </c>
      <c r="H414" s="1" t="s">
        <v>29</v>
      </c>
      <c r="I414" s="1" t="s">
        <v>32</v>
      </c>
      <c r="J414" s="1" t="s">
        <v>41</v>
      </c>
      <c r="K414" s="1" t="s">
        <v>525</v>
      </c>
      <c r="L414">
        <v>2</v>
      </c>
      <c r="M414">
        <v>0</v>
      </c>
      <c r="N414">
        <v>0</v>
      </c>
      <c r="O414">
        <v>6</v>
      </c>
      <c r="P414">
        <v>2</v>
      </c>
      <c r="Q414">
        <v>0</v>
      </c>
      <c r="R414">
        <v>0</v>
      </c>
      <c r="S414">
        <v>1</v>
      </c>
      <c r="T414">
        <v>1</v>
      </c>
      <c r="U414" s="1" t="s">
        <v>526</v>
      </c>
      <c r="V414" s="1" t="s">
        <v>169</v>
      </c>
      <c r="W414" s="1">
        <f t="shared" si="6"/>
        <v>270.07</v>
      </c>
      <c r="X414" s="1" t="s">
        <v>310</v>
      </c>
      <c r="Y414">
        <v>1</v>
      </c>
      <c r="Z414">
        <v>1</v>
      </c>
      <c r="AA414">
        <v>54</v>
      </c>
    </row>
    <row r="415" spans="1:27" x14ac:dyDescent="0.3">
      <c r="A415" s="1" t="s">
        <v>1880</v>
      </c>
      <c r="B415">
        <v>414</v>
      </c>
      <c r="C415" s="1" t="s">
        <v>1881</v>
      </c>
      <c r="D415" s="1" t="s">
        <v>1882</v>
      </c>
      <c r="E415" s="1" t="s">
        <v>39</v>
      </c>
      <c r="F415" s="1" t="s">
        <v>608</v>
      </c>
      <c r="G415" s="1" t="s">
        <v>610</v>
      </c>
      <c r="H415" s="1" t="s">
        <v>32</v>
      </c>
      <c r="I415" s="1" t="s">
        <v>32</v>
      </c>
      <c r="J415" s="1" t="s">
        <v>32</v>
      </c>
      <c r="K415" s="1" t="s">
        <v>389</v>
      </c>
      <c r="L415">
        <v>2</v>
      </c>
      <c r="M415">
        <v>2</v>
      </c>
      <c r="N415">
        <v>0</v>
      </c>
      <c r="O415">
        <v>1</v>
      </c>
      <c r="P415">
        <v>4</v>
      </c>
      <c r="Q415">
        <v>0</v>
      </c>
      <c r="R415">
        <v>0</v>
      </c>
      <c r="S415">
        <v>1</v>
      </c>
      <c r="T415">
        <v>1</v>
      </c>
      <c r="U415" s="1" t="s">
        <v>389</v>
      </c>
      <c r="V415" s="1" t="s">
        <v>177</v>
      </c>
      <c r="W415" s="1">
        <f t="shared" si="6"/>
        <v>61.02</v>
      </c>
      <c r="X415" s="1" t="s">
        <v>390</v>
      </c>
      <c r="Y415">
        <v>1</v>
      </c>
      <c r="Z415">
        <v>1</v>
      </c>
      <c r="AA415">
        <v>55</v>
      </c>
    </row>
    <row r="416" spans="1:27" x14ac:dyDescent="0.3">
      <c r="A416" s="1" t="s">
        <v>1883</v>
      </c>
      <c r="B416">
        <v>415</v>
      </c>
      <c r="C416" s="1" t="s">
        <v>1884</v>
      </c>
      <c r="D416" s="1" t="s">
        <v>1885</v>
      </c>
      <c r="E416" s="1" t="s">
        <v>41</v>
      </c>
      <c r="F416" s="1" t="s">
        <v>735</v>
      </c>
      <c r="G416" s="1" t="s">
        <v>613</v>
      </c>
      <c r="H416" s="1" t="s">
        <v>41</v>
      </c>
      <c r="I416" s="1" t="s">
        <v>32</v>
      </c>
      <c r="J416" s="1" t="s">
        <v>74</v>
      </c>
      <c r="K416" s="1" t="s">
        <v>1285</v>
      </c>
      <c r="L416">
        <v>2</v>
      </c>
      <c r="M416">
        <v>0</v>
      </c>
      <c r="N416">
        <v>0</v>
      </c>
      <c r="O416">
        <v>2</v>
      </c>
      <c r="P416">
        <v>2</v>
      </c>
      <c r="Q416">
        <v>0</v>
      </c>
      <c r="R416">
        <v>0</v>
      </c>
      <c r="S416">
        <v>1</v>
      </c>
      <c r="T416">
        <v>1</v>
      </c>
      <c r="U416" s="1" t="s">
        <v>1286</v>
      </c>
      <c r="V416" s="1" t="s">
        <v>87</v>
      </c>
      <c r="W416" s="1">
        <f t="shared" si="6"/>
        <v>274.58999999999997</v>
      </c>
      <c r="X416" s="1" t="s">
        <v>1287</v>
      </c>
      <c r="Y416">
        <v>1</v>
      </c>
      <c r="Z416">
        <v>1</v>
      </c>
      <c r="AA416">
        <v>56</v>
      </c>
    </row>
    <row r="417" spans="1:27" x14ac:dyDescent="0.3">
      <c r="A417" s="1" t="s">
        <v>1886</v>
      </c>
      <c r="B417">
        <v>416</v>
      </c>
      <c r="C417" s="1" t="s">
        <v>1887</v>
      </c>
      <c r="D417" s="1" t="s">
        <v>1888</v>
      </c>
      <c r="E417" s="1" t="s">
        <v>32</v>
      </c>
      <c r="F417" s="1" t="s">
        <v>741</v>
      </c>
      <c r="G417" s="1" t="s">
        <v>620</v>
      </c>
      <c r="H417" s="1" t="s">
        <v>48</v>
      </c>
      <c r="I417" s="1" t="s">
        <v>32</v>
      </c>
      <c r="J417" s="1" t="s">
        <v>29</v>
      </c>
      <c r="K417" s="1" t="s">
        <v>404</v>
      </c>
      <c r="L417">
        <v>3</v>
      </c>
      <c r="M417">
        <v>1</v>
      </c>
      <c r="N417">
        <v>0</v>
      </c>
      <c r="O417">
        <v>3</v>
      </c>
      <c r="P417">
        <v>4</v>
      </c>
      <c r="Q417">
        <v>0</v>
      </c>
      <c r="R417">
        <v>0</v>
      </c>
      <c r="S417">
        <v>1</v>
      </c>
      <c r="T417">
        <v>1</v>
      </c>
      <c r="U417" s="1" t="s">
        <v>405</v>
      </c>
      <c r="V417" s="1" t="s">
        <v>96</v>
      </c>
      <c r="W417" s="1">
        <f t="shared" si="6"/>
        <v>229.39</v>
      </c>
      <c r="X417" s="1" t="s">
        <v>323</v>
      </c>
      <c r="Y417">
        <v>1</v>
      </c>
      <c r="Z417">
        <v>1</v>
      </c>
      <c r="AA417">
        <v>57</v>
      </c>
    </row>
    <row r="418" spans="1:27" x14ac:dyDescent="0.3">
      <c r="A418" s="1" t="s">
        <v>1889</v>
      </c>
      <c r="B418">
        <v>417</v>
      </c>
      <c r="C418" s="1" t="s">
        <v>1890</v>
      </c>
      <c r="D418" s="1" t="s">
        <v>55</v>
      </c>
      <c r="E418" s="1" t="s">
        <v>29</v>
      </c>
      <c r="F418" s="1" t="s">
        <v>55</v>
      </c>
      <c r="G418" s="1" t="s">
        <v>55</v>
      </c>
      <c r="H418" s="1" t="s">
        <v>55</v>
      </c>
      <c r="I418" s="1" t="s">
        <v>32</v>
      </c>
      <c r="J418" s="1" t="s">
        <v>75</v>
      </c>
      <c r="K418" s="1" t="s">
        <v>409</v>
      </c>
      <c r="L418">
        <v>3</v>
      </c>
      <c r="M418">
        <v>0</v>
      </c>
      <c r="N418">
        <v>0</v>
      </c>
      <c r="O418">
        <v>4</v>
      </c>
      <c r="P418">
        <v>3</v>
      </c>
      <c r="Q418">
        <v>0</v>
      </c>
      <c r="R418">
        <v>0</v>
      </c>
      <c r="S418">
        <v>1</v>
      </c>
      <c r="T418">
        <v>1</v>
      </c>
      <c r="U418" s="1" t="s">
        <v>409</v>
      </c>
      <c r="V418" s="1" t="s">
        <v>104</v>
      </c>
      <c r="W418" s="1">
        <f t="shared" si="6"/>
        <v>76.84</v>
      </c>
      <c r="X418" s="1" t="s">
        <v>410</v>
      </c>
      <c r="Y418">
        <v>1</v>
      </c>
      <c r="Z418">
        <v>1</v>
      </c>
      <c r="AA418">
        <v>58</v>
      </c>
    </row>
    <row r="419" spans="1:27" x14ac:dyDescent="0.3">
      <c r="A419" s="1" t="s">
        <v>1891</v>
      </c>
      <c r="B419">
        <v>418</v>
      </c>
      <c r="C419" s="1" t="s">
        <v>1892</v>
      </c>
      <c r="D419" s="1" t="s">
        <v>753</v>
      </c>
      <c r="E419" s="1" t="s">
        <v>39</v>
      </c>
      <c r="F419" s="1" t="s">
        <v>753</v>
      </c>
      <c r="G419" s="1" t="s">
        <v>630</v>
      </c>
      <c r="H419" s="1" t="s">
        <v>63</v>
      </c>
      <c r="I419" s="1" t="s">
        <v>32</v>
      </c>
      <c r="J419" s="1" t="s">
        <v>41</v>
      </c>
      <c r="K419" s="1" t="s">
        <v>1893</v>
      </c>
      <c r="L419">
        <v>3</v>
      </c>
      <c r="M419">
        <v>0</v>
      </c>
      <c r="N419">
        <v>0</v>
      </c>
      <c r="O419">
        <v>5</v>
      </c>
      <c r="P419">
        <v>3</v>
      </c>
      <c r="Q419">
        <v>0</v>
      </c>
      <c r="R419">
        <v>0</v>
      </c>
      <c r="S419">
        <v>1</v>
      </c>
      <c r="T419">
        <v>1</v>
      </c>
      <c r="U419" s="1" t="s">
        <v>1894</v>
      </c>
      <c r="V419" s="1" t="s">
        <v>1335</v>
      </c>
      <c r="W419" s="1">
        <f t="shared" si="6"/>
        <v>78.649999999999906</v>
      </c>
      <c r="X419" s="1" t="s">
        <v>337</v>
      </c>
      <c r="Y419">
        <v>1</v>
      </c>
      <c r="Z419">
        <v>1</v>
      </c>
      <c r="AA419">
        <v>59</v>
      </c>
    </row>
    <row r="420" spans="1:27" x14ac:dyDescent="0.3">
      <c r="A420" s="1" t="s">
        <v>1895</v>
      </c>
      <c r="B420">
        <v>419</v>
      </c>
      <c r="C420" s="1" t="s">
        <v>1896</v>
      </c>
      <c r="D420" s="1" t="s">
        <v>636</v>
      </c>
      <c r="E420" s="1" t="s">
        <v>41</v>
      </c>
      <c r="F420" s="1" t="s">
        <v>636</v>
      </c>
      <c r="G420" s="1" t="s">
        <v>636</v>
      </c>
      <c r="H420" s="1" t="s">
        <v>74</v>
      </c>
      <c r="I420" s="1" t="s">
        <v>32</v>
      </c>
      <c r="J420" s="1" t="s">
        <v>32</v>
      </c>
      <c r="K420" s="1" t="s">
        <v>1340</v>
      </c>
      <c r="L420">
        <v>3</v>
      </c>
      <c r="M420">
        <v>0</v>
      </c>
      <c r="N420">
        <v>0</v>
      </c>
      <c r="O420">
        <v>6</v>
      </c>
      <c r="P420">
        <v>3</v>
      </c>
      <c r="Q420">
        <v>0</v>
      </c>
      <c r="R420">
        <v>0</v>
      </c>
      <c r="S420">
        <v>1</v>
      </c>
      <c r="T420">
        <v>1</v>
      </c>
      <c r="U420" s="1" t="s">
        <v>1341</v>
      </c>
      <c r="V420" s="1" t="s">
        <v>1027</v>
      </c>
      <c r="W420" s="1">
        <f t="shared" si="6"/>
        <v>268.49</v>
      </c>
      <c r="X420" s="1" t="s">
        <v>556</v>
      </c>
      <c r="Y420">
        <v>1</v>
      </c>
      <c r="Z420">
        <v>1</v>
      </c>
      <c r="AA420">
        <v>60</v>
      </c>
    </row>
    <row r="421" spans="1:27" x14ac:dyDescent="0.3">
      <c r="A421" s="1" t="s">
        <v>1897</v>
      </c>
      <c r="B421">
        <v>420</v>
      </c>
      <c r="C421" s="1" t="s">
        <v>1898</v>
      </c>
      <c r="D421" s="1" t="s">
        <v>1899</v>
      </c>
      <c r="E421" s="1" t="s">
        <v>32</v>
      </c>
      <c r="F421" s="1" t="s">
        <v>763</v>
      </c>
      <c r="G421" s="1" t="s">
        <v>641</v>
      </c>
      <c r="H421" s="1" t="s">
        <v>29</v>
      </c>
      <c r="I421" s="1" t="s">
        <v>32</v>
      </c>
      <c r="J421" s="1" t="s">
        <v>74</v>
      </c>
      <c r="K421" s="1" t="s">
        <v>428</v>
      </c>
      <c r="L421">
        <v>1</v>
      </c>
      <c r="M421">
        <v>2</v>
      </c>
      <c r="N421">
        <v>1</v>
      </c>
      <c r="O421">
        <v>1</v>
      </c>
      <c r="P421">
        <v>4</v>
      </c>
      <c r="Q421">
        <v>0</v>
      </c>
      <c r="R421">
        <v>0</v>
      </c>
      <c r="S421">
        <v>1</v>
      </c>
      <c r="T421">
        <v>1</v>
      </c>
      <c r="U421" s="1" t="s">
        <v>428</v>
      </c>
      <c r="V421" s="1" t="s">
        <v>127</v>
      </c>
      <c r="W421" s="1">
        <f t="shared" si="6"/>
        <v>47.46</v>
      </c>
      <c r="X421" s="1" t="s">
        <v>429</v>
      </c>
      <c r="Y421">
        <v>1</v>
      </c>
      <c r="Z421">
        <v>1</v>
      </c>
      <c r="AA421">
        <v>61</v>
      </c>
    </row>
    <row r="422" spans="1:27" x14ac:dyDescent="0.3">
      <c r="A422" s="1" t="s">
        <v>1900</v>
      </c>
      <c r="B422">
        <v>421</v>
      </c>
      <c r="C422" s="1" t="s">
        <v>1901</v>
      </c>
      <c r="D422" s="1" t="s">
        <v>769</v>
      </c>
      <c r="E422" s="1" t="s">
        <v>29</v>
      </c>
      <c r="F422" s="1" t="s">
        <v>769</v>
      </c>
      <c r="G422" s="1" t="s">
        <v>647</v>
      </c>
      <c r="H422" s="1" t="s">
        <v>32</v>
      </c>
      <c r="I422" s="1" t="s">
        <v>33</v>
      </c>
      <c r="J422" s="1" t="s">
        <v>33</v>
      </c>
      <c r="K422" s="1" t="s">
        <v>34</v>
      </c>
      <c r="L422">
        <v>1</v>
      </c>
      <c r="M422">
        <v>0</v>
      </c>
      <c r="N422">
        <v>0</v>
      </c>
      <c r="O422">
        <v>2</v>
      </c>
      <c r="P422">
        <v>1</v>
      </c>
      <c r="Q422">
        <v>1</v>
      </c>
      <c r="R422">
        <v>0</v>
      </c>
      <c r="S422">
        <v>0</v>
      </c>
      <c r="T422">
        <v>0</v>
      </c>
      <c r="U422" s="1" t="s">
        <v>770</v>
      </c>
      <c r="V422" s="1">
        <v>0</v>
      </c>
      <c r="W422" s="1">
        <f t="shared" si="6"/>
        <v>0</v>
      </c>
      <c r="X422" s="1" t="s">
        <v>770</v>
      </c>
      <c r="Y422">
        <v>1</v>
      </c>
      <c r="Z422">
        <v>0</v>
      </c>
      <c r="AA422">
        <v>62</v>
      </c>
    </row>
    <row r="423" spans="1:27" x14ac:dyDescent="0.3">
      <c r="A423" s="1" t="s">
        <v>1902</v>
      </c>
      <c r="B423">
        <v>422</v>
      </c>
      <c r="C423" s="1" t="s">
        <v>1903</v>
      </c>
      <c r="D423" s="1" t="s">
        <v>1904</v>
      </c>
      <c r="E423" s="1" t="s">
        <v>39</v>
      </c>
      <c r="F423" s="1" t="s">
        <v>774</v>
      </c>
      <c r="G423" s="1" t="s">
        <v>652</v>
      </c>
      <c r="H423" s="1" t="s">
        <v>41</v>
      </c>
      <c r="I423" s="1" t="s">
        <v>33</v>
      </c>
      <c r="J423" s="1" t="s">
        <v>33</v>
      </c>
      <c r="K423" s="1" t="s">
        <v>34</v>
      </c>
      <c r="L423">
        <v>1</v>
      </c>
      <c r="M423">
        <v>0</v>
      </c>
      <c r="N423">
        <v>0</v>
      </c>
      <c r="O423">
        <v>3</v>
      </c>
      <c r="P423">
        <v>1</v>
      </c>
      <c r="Q423">
        <v>1</v>
      </c>
      <c r="R423">
        <v>0</v>
      </c>
      <c r="S423">
        <v>0</v>
      </c>
      <c r="T423">
        <v>0</v>
      </c>
      <c r="U423" s="1" t="s">
        <v>776</v>
      </c>
      <c r="V423" s="1">
        <v>0</v>
      </c>
      <c r="W423" s="1">
        <f t="shared" si="6"/>
        <v>0</v>
      </c>
      <c r="X423" s="1" t="s">
        <v>776</v>
      </c>
      <c r="Y423">
        <v>1</v>
      </c>
      <c r="Z423">
        <v>0</v>
      </c>
      <c r="AA423">
        <v>63</v>
      </c>
    </row>
    <row r="424" spans="1:27" x14ac:dyDescent="0.3">
      <c r="A424" s="1" t="s">
        <v>1905</v>
      </c>
      <c r="B424">
        <v>423</v>
      </c>
      <c r="C424" s="1" t="s">
        <v>1906</v>
      </c>
      <c r="D424" s="1" t="s">
        <v>1907</v>
      </c>
      <c r="E424" s="1" t="s">
        <v>41</v>
      </c>
      <c r="F424" s="1" t="s">
        <v>779</v>
      </c>
      <c r="G424" s="1" t="s">
        <v>658</v>
      </c>
      <c r="H424" s="1" t="s">
        <v>48</v>
      </c>
      <c r="I424" s="1" t="s">
        <v>33</v>
      </c>
      <c r="J424" s="1" t="s">
        <v>33</v>
      </c>
      <c r="K424" s="1" t="s">
        <v>34</v>
      </c>
      <c r="L424">
        <v>2</v>
      </c>
      <c r="M424">
        <v>0</v>
      </c>
      <c r="N424">
        <v>0</v>
      </c>
      <c r="O424">
        <v>4</v>
      </c>
      <c r="P424">
        <v>2</v>
      </c>
      <c r="Q424">
        <v>1</v>
      </c>
      <c r="R424">
        <v>0</v>
      </c>
      <c r="S424">
        <v>0</v>
      </c>
      <c r="T424">
        <v>0</v>
      </c>
      <c r="U424" s="1" t="s">
        <v>1454</v>
      </c>
      <c r="V424" s="1">
        <v>0</v>
      </c>
      <c r="W424" s="1">
        <f t="shared" si="6"/>
        <v>0</v>
      </c>
      <c r="X424" s="1" t="s">
        <v>1454</v>
      </c>
      <c r="Y424">
        <v>1</v>
      </c>
      <c r="Z424">
        <v>0</v>
      </c>
      <c r="AA424">
        <v>64</v>
      </c>
    </row>
    <row r="425" spans="1:27" x14ac:dyDescent="0.3">
      <c r="A425" s="1" t="s">
        <v>1908</v>
      </c>
      <c r="B425">
        <v>424</v>
      </c>
      <c r="C425" s="1" t="s">
        <v>1909</v>
      </c>
      <c r="D425" s="1" t="s">
        <v>784</v>
      </c>
      <c r="E425" s="1" t="s">
        <v>32</v>
      </c>
      <c r="F425" s="1" t="s">
        <v>784</v>
      </c>
      <c r="G425" s="1" t="s">
        <v>56</v>
      </c>
      <c r="H425" s="1" t="s">
        <v>55</v>
      </c>
      <c r="I425" s="1" t="s">
        <v>56</v>
      </c>
      <c r="J425" s="1" t="s">
        <v>33</v>
      </c>
      <c r="K425" s="1" t="s">
        <v>34</v>
      </c>
      <c r="L425">
        <v>2</v>
      </c>
      <c r="M425">
        <v>1</v>
      </c>
      <c r="N425">
        <v>0</v>
      </c>
      <c r="O425">
        <v>5</v>
      </c>
      <c r="P425">
        <v>3</v>
      </c>
      <c r="Q425">
        <v>0</v>
      </c>
      <c r="R425">
        <v>1</v>
      </c>
      <c r="S425">
        <v>0</v>
      </c>
      <c r="T425">
        <v>0</v>
      </c>
      <c r="U425" s="1" t="s">
        <v>786</v>
      </c>
      <c r="V425" s="1">
        <v>0</v>
      </c>
      <c r="W425" s="1">
        <f t="shared" si="6"/>
        <v>0</v>
      </c>
      <c r="X425" s="1" t="s">
        <v>786</v>
      </c>
      <c r="Y425">
        <v>1</v>
      </c>
      <c r="Z425">
        <v>0</v>
      </c>
      <c r="AA425">
        <v>65</v>
      </c>
    </row>
    <row r="426" spans="1:27" x14ac:dyDescent="0.3">
      <c r="A426" s="1" t="s">
        <v>1910</v>
      </c>
      <c r="B426">
        <v>425</v>
      </c>
      <c r="C426" s="1" t="s">
        <v>1911</v>
      </c>
      <c r="D426" s="1" t="s">
        <v>1912</v>
      </c>
      <c r="E426" s="1" t="s">
        <v>29</v>
      </c>
      <c r="F426" s="1" t="s">
        <v>566</v>
      </c>
      <c r="G426" s="1" t="s">
        <v>667</v>
      </c>
      <c r="H426" s="1" t="s">
        <v>63</v>
      </c>
      <c r="I426" s="1" t="s">
        <v>64</v>
      </c>
      <c r="J426" s="1" t="s">
        <v>75</v>
      </c>
      <c r="K426" s="1" t="s">
        <v>1913</v>
      </c>
      <c r="L426">
        <v>2</v>
      </c>
      <c r="M426">
        <v>0</v>
      </c>
      <c r="N426">
        <v>0</v>
      </c>
      <c r="O426">
        <v>6</v>
      </c>
      <c r="P426">
        <v>2</v>
      </c>
      <c r="Q426">
        <v>0</v>
      </c>
      <c r="R426">
        <v>0</v>
      </c>
      <c r="S426">
        <v>0</v>
      </c>
      <c r="T426">
        <v>0</v>
      </c>
      <c r="U426" s="1" t="s">
        <v>1914</v>
      </c>
      <c r="V426" s="1" t="s">
        <v>67</v>
      </c>
      <c r="W426" s="1">
        <f t="shared" si="6"/>
        <v>22.6</v>
      </c>
      <c r="X426" s="1" t="s">
        <v>1915</v>
      </c>
      <c r="Y426">
        <v>1</v>
      </c>
      <c r="Z426">
        <v>0</v>
      </c>
      <c r="AA426">
        <v>66</v>
      </c>
    </row>
    <row r="427" spans="1:27" x14ac:dyDescent="0.3">
      <c r="A427" s="1" t="s">
        <v>1916</v>
      </c>
      <c r="B427">
        <v>426</v>
      </c>
      <c r="C427" s="1" t="s">
        <v>1917</v>
      </c>
      <c r="D427" s="1" t="s">
        <v>1918</v>
      </c>
      <c r="E427" s="1" t="s">
        <v>39</v>
      </c>
      <c r="F427" s="1" t="s">
        <v>796</v>
      </c>
      <c r="G427" s="1" t="s">
        <v>64</v>
      </c>
      <c r="H427" s="1" t="s">
        <v>74</v>
      </c>
      <c r="I427" s="1" t="s">
        <v>64</v>
      </c>
      <c r="J427" s="1" t="s">
        <v>41</v>
      </c>
      <c r="K427" s="1" t="s">
        <v>1919</v>
      </c>
      <c r="L427">
        <v>3</v>
      </c>
      <c r="M427">
        <v>2</v>
      </c>
      <c r="N427">
        <v>0</v>
      </c>
      <c r="O427">
        <v>1</v>
      </c>
      <c r="P427">
        <v>5</v>
      </c>
      <c r="Q427">
        <v>0</v>
      </c>
      <c r="R427">
        <v>0</v>
      </c>
      <c r="S427">
        <v>0</v>
      </c>
      <c r="T427">
        <v>0</v>
      </c>
      <c r="U427" s="1" t="s">
        <v>1920</v>
      </c>
      <c r="V427" s="1" t="s">
        <v>78</v>
      </c>
      <c r="W427" s="1">
        <f t="shared" si="6"/>
        <v>54.92</v>
      </c>
      <c r="X427" s="1" t="s">
        <v>653</v>
      </c>
      <c r="Y427">
        <v>1</v>
      </c>
      <c r="Z427">
        <v>0</v>
      </c>
      <c r="AA427">
        <v>67</v>
      </c>
    </row>
    <row r="428" spans="1:27" x14ac:dyDescent="0.3">
      <c r="A428" s="1" t="s">
        <v>1921</v>
      </c>
      <c r="B428">
        <v>427</v>
      </c>
      <c r="C428" s="1" t="s">
        <v>1922</v>
      </c>
      <c r="D428" s="1" t="s">
        <v>1923</v>
      </c>
      <c r="E428" s="1" t="s">
        <v>41</v>
      </c>
      <c r="F428" s="1" t="s">
        <v>802</v>
      </c>
      <c r="G428" s="1" t="s">
        <v>682</v>
      </c>
      <c r="H428" s="1" t="s">
        <v>29</v>
      </c>
      <c r="I428" s="1" t="s">
        <v>32</v>
      </c>
      <c r="J428" s="1" t="s">
        <v>41</v>
      </c>
      <c r="K428" s="1" t="s">
        <v>804</v>
      </c>
      <c r="L428">
        <v>3</v>
      </c>
      <c r="M428">
        <v>0</v>
      </c>
      <c r="N428">
        <v>0</v>
      </c>
      <c r="O428">
        <v>2</v>
      </c>
      <c r="P428">
        <v>3</v>
      </c>
      <c r="Q428">
        <v>0</v>
      </c>
      <c r="R428">
        <v>0</v>
      </c>
      <c r="S428">
        <v>1</v>
      </c>
      <c r="T428">
        <v>1</v>
      </c>
      <c r="U428" s="1" t="s">
        <v>805</v>
      </c>
      <c r="V428" s="1" t="s">
        <v>87</v>
      </c>
      <c r="W428" s="1">
        <f t="shared" si="6"/>
        <v>274.58999999999997</v>
      </c>
      <c r="X428" s="1" t="s">
        <v>659</v>
      </c>
      <c r="Y428">
        <v>1</v>
      </c>
      <c r="Z428">
        <v>1</v>
      </c>
      <c r="AA428">
        <v>68</v>
      </c>
    </row>
    <row r="429" spans="1:27" x14ac:dyDescent="0.3">
      <c r="A429" s="1" t="s">
        <v>1924</v>
      </c>
      <c r="B429">
        <v>428</v>
      </c>
      <c r="C429" s="1" t="s">
        <v>1925</v>
      </c>
      <c r="D429" s="1" t="s">
        <v>689</v>
      </c>
      <c r="E429" s="1" t="s">
        <v>32</v>
      </c>
      <c r="F429" s="1" t="s">
        <v>808</v>
      </c>
      <c r="G429" s="1" t="s">
        <v>689</v>
      </c>
      <c r="H429" s="1" t="s">
        <v>32</v>
      </c>
      <c r="I429" s="1" t="s">
        <v>32</v>
      </c>
      <c r="J429" s="1" t="s">
        <v>32</v>
      </c>
      <c r="K429" s="1" t="s">
        <v>809</v>
      </c>
      <c r="L429">
        <v>3</v>
      </c>
      <c r="M429">
        <v>1</v>
      </c>
      <c r="N429">
        <v>0</v>
      </c>
      <c r="O429">
        <v>3</v>
      </c>
      <c r="P429">
        <v>4</v>
      </c>
      <c r="Q429">
        <v>0</v>
      </c>
      <c r="R429">
        <v>0</v>
      </c>
      <c r="S429">
        <v>1</v>
      </c>
      <c r="T429">
        <v>1</v>
      </c>
      <c r="U429" s="1" t="s">
        <v>810</v>
      </c>
      <c r="V429" s="1" t="s">
        <v>96</v>
      </c>
      <c r="W429" s="1">
        <f t="shared" si="6"/>
        <v>229.39</v>
      </c>
      <c r="X429" s="1" t="s">
        <v>663</v>
      </c>
      <c r="Y429">
        <v>1</v>
      </c>
      <c r="Z429">
        <v>1</v>
      </c>
      <c r="AA429">
        <v>69</v>
      </c>
    </row>
    <row r="430" spans="1:27" x14ac:dyDescent="0.3">
      <c r="A430" s="1" t="s">
        <v>1926</v>
      </c>
      <c r="B430">
        <v>429</v>
      </c>
      <c r="C430" s="1" t="s">
        <v>1927</v>
      </c>
      <c r="D430" s="1" t="s">
        <v>1928</v>
      </c>
      <c r="E430" s="1" t="s">
        <v>29</v>
      </c>
      <c r="F430" s="1" t="s">
        <v>694</v>
      </c>
      <c r="G430" s="1" t="s">
        <v>695</v>
      </c>
      <c r="H430" s="1" t="s">
        <v>41</v>
      </c>
      <c r="I430" s="1" t="s">
        <v>32</v>
      </c>
      <c r="J430" s="1" t="s">
        <v>74</v>
      </c>
      <c r="K430" s="1" t="s">
        <v>815</v>
      </c>
      <c r="L430">
        <v>3</v>
      </c>
      <c r="M430">
        <v>0</v>
      </c>
      <c r="N430">
        <v>0</v>
      </c>
      <c r="O430">
        <v>4</v>
      </c>
      <c r="P430">
        <v>3</v>
      </c>
      <c r="Q430">
        <v>0</v>
      </c>
      <c r="R430">
        <v>0</v>
      </c>
      <c r="S430">
        <v>1</v>
      </c>
      <c r="T430">
        <v>1</v>
      </c>
      <c r="U430" s="1" t="s">
        <v>815</v>
      </c>
      <c r="V430" s="1" t="s">
        <v>104</v>
      </c>
      <c r="W430" s="1">
        <f t="shared" si="6"/>
        <v>76.84</v>
      </c>
      <c r="X430" s="1" t="s">
        <v>816</v>
      </c>
      <c r="Y430">
        <v>1</v>
      </c>
      <c r="Z430">
        <v>1</v>
      </c>
      <c r="AA430">
        <v>70</v>
      </c>
    </row>
    <row r="431" spans="1:27" x14ac:dyDescent="0.3">
      <c r="A431" s="1" t="s">
        <v>1929</v>
      </c>
      <c r="B431">
        <v>430</v>
      </c>
      <c r="C431" s="1" t="s">
        <v>1930</v>
      </c>
      <c r="D431" s="1" t="s">
        <v>819</v>
      </c>
      <c r="E431" s="1" t="s">
        <v>39</v>
      </c>
      <c r="F431" s="1" t="s">
        <v>819</v>
      </c>
      <c r="G431" s="1" t="s">
        <v>703</v>
      </c>
      <c r="H431" s="1" t="s">
        <v>48</v>
      </c>
      <c r="I431" s="1" t="s">
        <v>32</v>
      </c>
      <c r="J431" s="1" t="s">
        <v>29</v>
      </c>
      <c r="K431" s="1" t="s">
        <v>821</v>
      </c>
      <c r="L431">
        <v>1</v>
      </c>
      <c r="M431">
        <v>0</v>
      </c>
      <c r="N431">
        <v>0</v>
      </c>
      <c r="O431">
        <v>5</v>
      </c>
      <c r="P431">
        <v>1</v>
      </c>
      <c r="Q431">
        <v>0</v>
      </c>
      <c r="R431">
        <v>0</v>
      </c>
      <c r="S431">
        <v>1</v>
      </c>
      <c r="T431">
        <v>1</v>
      </c>
      <c r="U431" s="1" t="s">
        <v>822</v>
      </c>
      <c r="V431" s="1" t="s">
        <v>111</v>
      </c>
      <c r="W431" s="1">
        <f t="shared" si="6"/>
        <v>80.229999999999905</v>
      </c>
      <c r="X431" s="1" t="s">
        <v>823</v>
      </c>
      <c r="Y431">
        <v>1</v>
      </c>
      <c r="Z431">
        <v>1</v>
      </c>
      <c r="AA431">
        <v>71</v>
      </c>
    </row>
    <row r="432" spans="1:27" x14ac:dyDescent="0.3">
      <c r="A432" s="1" t="s">
        <v>1931</v>
      </c>
      <c r="B432">
        <v>431</v>
      </c>
      <c r="C432" s="1" t="s">
        <v>1932</v>
      </c>
      <c r="D432" s="1" t="s">
        <v>827</v>
      </c>
      <c r="E432" s="1" t="s">
        <v>41</v>
      </c>
      <c r="F432" s="1" t="s">
        <v>827</v>
      </c>
      <c r="G432" s="1" t="s">
        <v>712</v>
      </c>
      <c r="H432" s="1" t="s">
        <v>55</v>
      </c>
      <c r="I432" s="1" t="s">
        <v>32</v>
      </c>
      <c r="J432" s="1" t="s">
        <v>75</v>
      </c>
      <c r="K432" s="1" t="s">
        <v>1933</v>
      </c>
      <c r="L432">
        <v>1</v>
      </c>
      <c r="M432">
        <v>0</v>
      </c>
      <c r="N432">
        <v>0</v>
      </c>
      <c r="O432">
        <v>6</v>
      </c>
      <c r="P432">
        <v>1</v>
      </c>
      <c r="Q432">
        <v>0</v>
      </c>
      <c r="R432">
        <v>0</v>
      </c>
      <c r="S432">
        <v>1</v>
      </c>
      <c r="T432">
        <v>1</v>
      </c>
      <c r="U432" s="1" t="s">
        <v>1934</v>
      </c>
      <c r="V432" s="1" t="s">
        <v>120</v>
      </c>
      <c r="W432" s="1">
        <f t="shared" si="6"/>
        <v>249.39</v>
      </c>
      <c r="X432" s="1" t="s">
        <v>1383</v>
      </c>
      <c r="Y432">
        <v>1</v>
      </c>
      <c r="Z432">
        <v>1</v>
      </c>
      <c r="AA432">
        <v>72</v>
      </c>
    </row>
    <row r="433" spans="1:27" x14ac:dyDescent="0.3">
      <c r="A433" s="1" t="s">
        <v>1935</v>
      </c>
      <c r="B433">
        <v>432</v>
      </c>
      <c r="C433" s="1" t="s">
        <v>1936</v>
      </c>
      <c r="D433" s="1" t="s">
        <v>1937</v>
      </c>
      <c r="E433" s="1" t="s">
        <v>32</v>
      </c>
      <c r="F433" s="1" t="s">
        <v>602</v>
      </c>
      <c r="G433" s="1" t="s">
        <v>718</v>
      </c>
      <c r="H433" s="1" t="s">
        <v>63</v>
      </c>
      <c r="I433" s="1" t="s">
        <v>32</v>
      </c>
      <c r="J433" s="1" t="s">
        <v>41</v>
      </c>
      <c r="K433" s="1" t="s">
        <v>690</v>
      </c>
      <c r="L433">
        <v>1</v>
      </c>
      <c r="M433">
        <v>2</v>
      </c>
      <c r="N433">
        <v>1</v>
      </c>
      <c r="O433">
        <v>1</v>
      </c>
      <c r="P433">
        <v>4</v>
      </c>
      <c r="Q433">
        <v>0</v>
      </c>
      <c r="R433">
        <v>0</v>
      </c>
      <c r="S433">
        <v>1</v>
      </c>
      <c r="T433">
        <v>1</v>
      </c>
      <c r="U433" s="1" t="s">
        <v>690</v>
      </c>
      <c r="V433" s="1" t="s">
        <v>127</v>
      </c>
      <c r="W433" s="1">
        <f t="shared" si="6"/>
        <v>47.46</v>
      </c>
      <c r="X433" s="1" t="s">
        <v>691</v>
      </c>
      <c r="Y433">
        <v>1</v>
      </c>
      <c r="Z433">
        <v>1</v>
      </c>
      <c r="AA433">
        <v>73</v>
      </c>
    </row>
    <row r="434" spans="1:27" x14ac:dyDescent="0.3">
      <c r="A434" s="1" t="s">
        <v>1938</v>
      </c>
      <c r="B434">
        <v>433</v>
      </c>
      <c r="C434" s="1" t="s">
        <v>1939</v>
      </c>
      <c r="D434" s="1" t="s">
        <v>1940</v>
      </c>
      <c r="E434" s="1" t="s">
        <v>29</v>
      </c>
      <c r="F434" s="1" t="s">
        <v>839</v>
      </c>
      <c r="G434" s="1" t="s">
        <v>29</v>
      </c>
      <c r="H434" s="1" t="s">
        <v>74</v>
      </c>
      <c r="I434" s="1" t="s">
        <v>32</v>
      </c>
      <c r="J434" s="1" t="s">
        <v>32</v>
      </c>
      <c r="K434" s="1" t="s">
        <v>1941</v>
      </c>
      <c r="L434">
        <v>2</v>
      </c>
      <c r="M434">
        <v>0</v>
      </c>
      <c r="N434">
        <v>0</v>
      </c>
      <c r="O434">
        <v>2</v>
      </c>
      <c r="P434">
        <v>2</v>
      </c>
      <c r="Q434">
        <v>0</v>
      </c>
      <c r="R434">
        <v>0</v>
      </c>
      <c r="S434">
        <v>1</v>
      </c>
      <c r="T434">
        <v>1</v>
      </c>
      <c r="U434" s="1" t="s">
        <v>1942</v>
      </c>
      <c r="V434" s="1" t="s">
        <v>135</v>
      </c>
      <c r="W434" s="1">
        <f t="shared" si="6"/>
        <v>281.02999999999997</v>
      </c>
      <c r="X434" s="1" t="s">
        <v>1943</v>
      </c>
      <c r="Y434">
        <v>1</v>
      </c>
      <c r="Z434">
        <v>1</v>
      </c>
      <c r="AA434">
        <v>74</v>
      </c>
    </row>
    <row r="435" spans="1:27" x14ac:dyDescent="0.3">
      <c r="A435" s="1" t="s">
        <v>1944</v>
      </c>
      <c r="B435">
        <v>434</v>
      </c>
      <c r="C435" s="1" t="s">
        <v>1945</v>
      </c>
      <c r="D435" s="1" t="s">
        <v>1946</v>
      </c>
      <c r="E435" s="1" t="s">
        <v>39</v>
      </c>
      <c r="F435" s="1" t="s">
        <v>610</v>
      </c>
      <c r="G435" s="1" t="s">
        <v>730</v>
      </c>
      <c r="H435" s="1" t="s">
        <v>29</v>
      </c>
      <c r="I435" s="1" t="s">
        <v>32</v>
      </c>
      <c r="J435" s="1" t="s">
        <v>74</v>
      </c>
      <c r="K435" s="1" t="s">
        <v>845</v>
      </c>
      <c r="L435">
        <v>2</v>
      </c>
      <c r="M435">
        <v>0</v>
      </c>
      <c r="N435">
        <v>0</v>
      </c>
      <c r="O435">
        <v>3</v>
      </c>
      <c r="P435">
        <v>2</v>
      </c>
      <c r="Q435">
        <v>0</v>
      </c>
      <c r="R435">
        <v>0</v>
      </c>
      <c r="S435">
        <v>1</v>
      </c>
      <c r="T435">
        <v>1</v>
      </c>
      <c r="U435" s="1" t="s">
        <v>846</v>
      </c>
      <c r="V435" s="1" t="s">
        <v>144</v>
      </c>
      <c r="W435" s="1">
        <f t="shared" si="6"/>
        <v>202.26999999999899</v>
      </c>
      <c r="X435" s="1" t="s">
        <v>776</v>
      </c>
      <c r="Y435">
        <v>1</v>
      </c>
      <c r="Z435">
        <v>1</v>
      </c>
      <c r="AA435">
        <v>75</v>
      </c>
    </row>
    <row r="436" spans="1:27" x14ac:dyDescent="0.3">
      <c r="A436" s="1" t="s">
        <v>1947</v>
      </c>
      <c r="B436">
        <v>435</v>
      </c>
      <c r="C436" s="1" t="s">
        <v>1948</v>
      </c>
      <c r="D436" s="1" t="s">
        <v>850</v>
      </c>
      <c r="E436" s="1" t="s">
        <v>41</v>
      </c>
      <c r="F436" s="1" t="s">
        <v>850</v>
      </c>
      <c r="G436" s="1" t="s">
        <v>735</v>
      </c>
      <c r="H436" s="1" t="s">
        <v>32</v>
      </c>
      <c r="I436" s="1" t="s">
        <v>32</v>
      </c>
      <c r="J436" s="1" t="s">
        <v>29</v>
      </c>
      <c r="K436" s="1" t="s">
        <v>852</v>
      </c>
      <c r="L436">
        <v>2</v>
      </c>
      <c r="M436">
        <v>0</v>
      </c>
      <c r="N436">
        <v>0</v>
      </c>
      <c r="O436">
        <v>4</v>
      </c>
      <c r="P436">
        <v>2</v>
      </c>
      <c r="Q436">
        <v>0</v>
      </c>
      <c r="R436">
        <v>0</v>
      </c>
      <c r="S436">
        <v>1</v>
      </c>
      <c r="T436">
        <v>1</v>
      </c>
      <c r="U436" s="1" t="s">
        <v>852</v>
      </c>
      <c r="V436" s="1" t="s">
        <v>152</v>
      </c>
      <c r="W436" s="1">
        <f t="shared" si="6"/>
        <v>63.28</v>
      </c>
      <c r="X436" s="1" t="s">
        <v>853</v>
      </c>
      <c r="Y436">
        <v>1</v>
      </c>
      <c r="Z436">
        <v>1</v>
      </c>
      <c r="AA436">
        <v>76</v>
      </c>
    </row>
    <row r="437" spans="1:27" x14ac:dyDescent="0.3">
      <c r="A437" s="1" t="s">
        <v>1949</v>
      </c>
      <c r="B437">
        <v>436</v>
      </c>
      <c r="C437" s="1" t="s">
        <v>1950</v>
      </c>
      <c r="D437" s="1" t="s">
        <v>857</v>
      </c>
      <c r="E437" s="1" t="s">
        <v>32</v>
      </c>
      <c r="F437" s="1" t="s">
        <v>857</v>
      </c>
      <c r="G437" s="1" t="s">
        <v>742</v>
      </c>
      <c r="H437" s="1" t="s">
        <v>41</v>
      </c>
      <c r="I437" s="1" t="s">
        <v>32</v>
      </c>
      <c r="J437" s="1" t="s">
        <v>75</v>
      </c>
      <c r="K437" s="1" t="s">
        <v>719</v>
      </c>
      <c r="L437">
        <v>3</v>
      </c>
      <c r="M437">
        <v>1</v>
      </c>
      <c r="N437">
        <v>0</v>
      </c>
      <c r="O437">
        <v>5</v>
      </c>
      <c r="P437">
        <v>4</v>
      </c>
      <c r="Q437">
        <v>0</v>
      </c>
      <c r="R437">
        <v>0</v>
      </c>
      <c r="S437">
        <v>1</v>
      </c>
      <c r="T437">
        <v>1</v>
      </c>
      <c r="U437" s="1" t="s">
        <v>720</v>
      </c>
      <c r="V437" s="1" t="s">
        <v>161</v>
      </c>
      <c r="W437" s="1">
        <f t="shared" si="6"/>
        <v>66.67</v>
      </c>
      <c r="X437" s="1" t="s">
        <v>721</v>
      </c>
      <c r="Y437">
        <v>1</v>
      </c>
      <c r="Z437">
        <v>1</v>
      </c>
      <c r="AA437">
        <v>77</v>
      </c>
    </row>
    <row r="438" spans="1:27" x14ac:dyDescent="0.3">
      <c r="A438" s="1" t="s">
        <v>1951</v>
      </c>
      <c r="B438">
        <v>437</v>
      </c>
      <c r="C438" s="1" t="s">
        <v>1952</v>
      </c>
      <c r="D438" s="1" t="s">
        <v>1953</v>
      </c>
      <c r="E438" s="1" t="s">
        <v>29</v>
      </c>
      <c r="F438" s="1" t="s">
        <v>861</v>
      </c>
      <c r="G438" s="1" t="s">
        <v>747</v>
      </c>
      <c r="H438" s="1" t="s">
        <v>48</v>
      </c>
      <c r="I438" s="1" t="s">
        <v>32</v>
      </c>
      <c r="J438" s="1" t="s">
        <v>41</v>
      </c>
      <c r="K438" s="1" t="s">
        <v>725</v>
      </c>
      <c r="L438">
        <v>3</v>
      </c>
      <c r="M438">
        <v>0</v>
      </c>
      <c r="N438">
        <v>0</v>
      </c>
      <c r="O438">
        <v>6</v>
      </c>
      <c r="P438">
        <v>3</v>
      </c>
      <c r="Q438">
        <v>0</v>
      </c>
      <c r="R438">
        <v>0</v>
      </c>
      <c r="S438">
        <v>1</v>
      </c>
      <c r="T438">
        <v>1</v>
      </c>
      <c r="U438" s="1" t="s">
        <v>726</v>
      </c>
      <c r="V438" s="1" t="s">
        <v>169</v>
      </c>
      <c r="W438" s="1">
        <f t="shared" si="6"/>
        <v>270.07</v>
      </c>
      <c r="X438" s="1" t="s">
        <v>727</v>
      </c>
      <c r="Y438">
        <v>1</v>
      </c>
      <c r="Z438">
        <v>1</v>
      </c>
      <c r="AA438">
        <v>78</v>
      </c>
    </row>
    <row r="439" spans="1:27" x14ac:dyDescent="0.3">
      <c r="A439" s="1" t="s">
        <v>1954</v>
      </c>
      <c r="B439">
        <v>438</v>
      </c>
      <c r="C439" s="1" t="s">
        <v>1955</v>
      </c>
      <c r="D439" s="1" t="s">
        <v>867</v>
      </c>
      <c r="E439" s="1" t="s">
        <v>39</v>
      </c>
      <c r="F439" s="1" t="s">
        <v>867</v>
      </c>
      <c r="G439" s="1" t="s">
        <v>754</v>
      </c>
      <c r="H439" s="1" t="s">
        <v>55</v>
      </c>
      <c r="I439" s="1" t="s">
        <v>32</v>
      </c>
      <c r="J439" s="1" t="s">
        <v>32</v>
      </c>
      <c r="K439" s="1" t="s">
        <v>731</v>
      </c>
      <c r="L439">
        <v>3</v>
      </c>
      <c r="M439">
        <v>2</v>
      </c>
      <c r="N439">
        <v>0</v>
      </c>
      <c r="O439">
        <v>1</v>
      </c>
      <c r="P439">
        <v>5</v>
      </c>
      <c r="Q439">
        <v>0</v>
      </c>
      <c r="R439">
        <v>0</v>
      </c>
      <c r="S439">
        <v>1</v>
      </c>
      <c r="T439">
        <v>1</v>
      </c>
      <c r="U439" s="1" t="s">
        <v>731</v>
      </c>
      <c r="V439" s="1" t="s">
        <v>177</v>
      </c>
      <c r="W439" s="1">
        <f t="shared" si="6"/>
        <v>61.02</v>
      </c>
      <c r="X439" s="1" t="s">
        <v>732</v>
      </c>
      <c r="Y439">
        <v>1</v>
      </c>
      <c r="Z439">
        <v>1</v>
      </c>
      <c r="AA439">
        <v>79</v>
      </c>
    </row>
    <row r="440" spans="1:27" x14ac:dyDescent="0.3">
      <c r="A440" s="1" t="s">
        <v>1956</v>
      </c>
      <c r="B440">
        <v>439</v>
      </c>
      <c r="C440" s="1" t="s">
        <v>1957</v>
      </c>
      <c r="D440" s="1" t="s">
        <v>1958</v>
      </c>
      <c r="E440" s="1" t="s">
        <v>41</v>
      </c>
      <c r="F440" s="1" t="s">
        <v>872</v>
      </c>
      <c r="G440" s="1" t="s">
        <v>760</v>
      </c>
      <c r="H440" s="1" t="s">
        <v>63</v>
      </c>
      <c r="I440" s="1" t="s">
        <v>32</v>
      </c>
      <c r="J440" s="1" t="s">
        <v>74</v>
      </c>
      <c r="K440" s="1" t="s">
        <v>1415</v>
      </c>
      <c r="L440">
        <v>3</v>
      </c>
      <c r="M440">
        <v>0</v>
      </c>
      <c r="N440">
        <v>0</v>
      </c>
      <c r="O440">
        <v>2</v>
      </c>
      <c r="P440">
        <v>3</v>
      </c>
      <c r="Q440">
        <v>0</v>
      </c>
      <c r="R440">
        <v>0</v>
      </c>
      <c r="S440">
        <v>1</v>
      </c>
      <c r="T440">
        <v>1</v>
      </c>
      <c r="U440" s="1" t="s">
        <v>1416</v>
      </c>
      <c r="V440" s="1" t="s">
        <v>184</v>
      </c>
      <c r="W440" s="1">
        <f t="shared" si="6"/>
        <v>265.77999999999997</v>
      </c>
      <c r="X440" s="1" t="s">
        <v>1417</v>
      </c>
      <c r="Y440">
        <v>1</v>
      </c>
      <c r="Z440">
        <v>1</v>
      </c>
      <c r="AA440">
        <v>80</v>
      </c>
    </row>
    <row r="441" spans="1:27" x14ac:dyDescent="0.3">
      <c r="A441" s="1" t="s">
        <v>1959</v>
      </c>
      <c r="B441">
        <v>440</v>
      </c>
      <c r="C441" s="1" t="s">
        <v>1960</v>
      </c>
      <c r="D441" s="1" t="s">
        <v>879</v>
      </c>
      <c r="E441" s="1" t="s">
        <v>32</v>
      </c>
      <c r="F441" s="1" t="s">
        <v>879</v>
      </c>
      <c r="G441" s="1" t="s">
        <v>763</v>
      </c>
      <c r="H441" s="1" t="s">
        <v>74</v>
      </c>
      <c r="I441" s="1" t="s">
        <v>32</v>
      </c>
      <c r="J441" s="1" t="s">
        <v>29</v>
      </c>
      <c r="K441" s="1" t="s">
        <v>1961</v>
      </c>
      <c r="L441">
        <v>1</v>
      </c>
      <c r="M441">
        <v>1</v>
      </c>
      <c r="N441">
        <v>0</v>
      </c>
      <c r="O441">
        <v>3</v>
      </c>
      <c r="P441">
        <v>2</v>
      </c>
      <c r="Q441">
        <v>0</v>
      </c>
      <c r="R441">
        <v>0</v>
      </c>
      <c r="S441">
        <v>1</v>
      </c>
      <c r="T441">
        <v>1</v>
      </c>
      <c r="U441" s="1" t="s">
        <v>1962</v>
      </c>
      <c r="V441" s="1" t="s">
        <v>192</v>
      </c>
      <c r="W441" s="1">
        <f t="shared" si="6"/>
        <v>220.58</v>
      </c>
      <c r="X441" s="1" t="s">
        <v>883</v>
      </c>
      <c r="Y441">
        <v>1</v>
      </c>
      <c r="Z441">
        <v>1</v>
      </c>
      <c r="AA441">
        <v>81</v>
      </c>
    </row>
    <row r="442" spans="1:27" x14ac:dyDescent="0.3">
      <c r="A442" s="1" t="s">
        <v>1963</v>
      </c>
      <c r="B442">
        <v>441</v>
      </c>
      <c r="C442" s="1" t="s">
        <v>1964</v>
      </c>
      <c r="D442" s="1" t="s">
        <v>1965</v>
      </c>
      <c r="E442" s="1" t="s">
        <v>29</v>
      </c>
      <c r="F442" s="1" t="s">
        <v>768</v>
      </c>
      <c r="G442" s="1" t="s">
        <v>30</v>
      </c>
      <c r="H442" s="1" t="s">
        <v>29</v>
      </c>
      <c r="I442" s="1" t="s">
        <v>33</v>
      </c>
      <c r="J442" s="1" t="s">
        <v>33</v>
      </c>
      <c r="K442" s="1" t="s">
        <v>34</v>
      </c>
      <c r="L442">
        <v>1</v>
      </c>
      <c r="M442">
        <v>0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0</v>
      </c>
      <c r="T442">
        <v>0</v>
      </c>
      <c r="U442" s="1" t="s">
        <v>749</v>
      </c>
      <c r="V442" s="1">
        <v>0</v>
      </c>
      <c r="W442" s="1">
        <f t="shared" si="6"/>
        <v>0</v>
      </c>
      <c r="X442" s="1" t="s">
        <v>749</v>
      </c>
      <c r="Y442">
        <v>1</v>
      </c>
      <c r="Z442">
        <v>0</v>
      </c>
      <c r="AA442">
        <v>82</v>
      </c>
    </row>
    <row r="443" spans="1:27" x14ac:dyDescent="0.3">
      <c r="A443" s="1" t="s">
        <v>1966</v>
      </c>
      <c r="B443">
        <v>442</v>
      </c>
      <c r="C443" s="1" t="s">
        <v>1967</v>
      </c>
      <c r="D443" s="1" t="s">
        <v>775</v>
      </c>
      <c r="E443" s="1" t="s">
        <v>39</v>
      </c>
      <c r="F443" s="1" t="s">
        <v>891</v>
      </c>
      <c r="G443" s="1" t="s">
        <v>775</v>
      </c>
      <c r="H443" s="1" t="s">
        <v>32</v>
      </c>
      <c r="I443" s="1" t="s">
        <v>33</v>
      </c>
      <c r="J443" s="1" t="s">
        <v>33</v>
      </c>
      <c r="K443" s="1" t="s">
        <v>34</v>
      </c>
      <c r="L443">
        <v>1</v>
      </c>
      <c r="M443">
        <v>0</v>
      </c>
      <c r="N443">
        <v>0</v>
      </c>
      <c r="O443">
        <v>5</v>
      </c>
      <c r="P443">
        <v>1</v>
      </c>
      <c r="Q443">
        <v>1</v>
      </c>
      <c r="R443">
        <v>0</v>
      </c>
      <c r="S443">
        <v>0</v>
      </c>
      <c r="T443">
        <v>0</v>
      </c>
      <c r="U443" s="1" t="s">
        <v>677</v>
      </c>
      <c r="V443" s="1">
        <v>0</v>
      </c>
      <c r="W443" s="1">
        <f t="shared" si="6"/>
        <v>0</v>
      </c>
      <c r="X443" s="1" t="s">
        <v>677</v>
      </c>
      <c r="Y443">
        <v>1</v>
      </c>
      <c r="Z443">
        <v>0</v>
      </c>
      <c r="AA443">
        <v>83</v>
      </c>
    </row>
    <row r="444" spans="1:27" x14ac:dyDescent="0.3">
      <c r="A444" s="1" t="s">
        <v>1968</v>
      </c>
      <c r="B444">
        <v>443</v>
      </c>
      <c r="C444" s="1" t="s">
        <v>1969</v>
      </c>
      <c r="D444" s="1" t="s">
        <v>1970</v>
      </c>
      <c r="E444" s="1" t="s">
        <v>41</v>
      </c>
      <c r="F444" s="1" t="s">
        <v>894</v>
      </c>
      <c r="G444" s="1" t="s">
        <v>780</v>
      </c>
      <c r="H444" s="1" t="s">
        <v>41</v>
      </c>
      <c r="I444" s="1" t="s">
        <v>33</v>
      </c>
      <c r="J444" s="1" t="s">
        <v>33</v>
      </c>
      <c r="K444" s="1" t="s">
        <v>34</v>
      </c>
      <c r="L444">
        <v>2</v>
      </c>
      <c r="M444">
        <v>0</v>
      </c>
      <c r="N444">
        <v>0</v>
      </c>
      <c r="O444">
        <v>6</v>
      </c>
      <c r="P444">
        <v>2</v>
      </c>
      <c r="Q444">
        <v>1</v>
      </c>
      <c r="R444">
        <v>0</v>
      </c>
      <c r="S444">
        <v>0</v>
      </c>
      <c r="T444">
        <v>0</v>
      </c>
      <c r="U444" s="1" t="s">
        <v>1383</v>
      </c>
      <c r="V444" s="1">
        <v>0</v>
      </c>
      <c r="W444" s="1">
        <f t="shared" si="6"/>
        <v>0</v>
      </c>
      <c r="X444" s="1" t="s">
        <v>1383</v>
      </c>
      <c r="Y444">
        <v>1</v>
      </c>
      <c r="Z444">
        <v>0</v>
      </c>
      <c r="AA444">
        <v>84</v>
      </c>
    </row>
    <row r="445" spans="1:27" x14ac:dyDescent="0.3">
      <c r="A445" s="1" t="s">
        <v>1971</v>
      </c>
      <c r="B445">
        <v>444</v>
      </c>
      <c r="C445" s="1" t="s">
        <v>1972</v>
      </c>
      <c r="D445" s="1" t="s">
        <v>899</v>
      </c>
      <c r="E445" s="1" t="s">
        <v>32</v>
      </c>
      <c r="F445" s="1" t="s">
        <v>899</v>
      </c>
      <c r="G445" s="1" t="s">
        <v>785</v>
      </c>
      <c r="H445" s="1" t="s">
        <v>48</v>
      </c>
      <c r="I445" s="1" t="s">
        <v>56</v>
      </c>
      <c r="J445" s="1" t="s">
        <v>33</v>
      </c>
      <c r="K445" s="1" t="s">
        <v>34</v>
      </c>
      <c r="L445">
        <v>2</v>
      </c>
      <c r="M445">
        <v>2</v>
      </c>
      <c r="N445">
        <v>1</v>
      </c>
      <c r="O445">
        <v>1</v>
      </c>
      <c r="P445">
        <v>5</v>
      </c>
      <c r="Q445">
        <v>0</v>
      </c>
      <c r="R445">
        <v>1</v>
      </c>
      <c r="S445">
        <v>0</v>
      </c>
      <c r="T445">
        <v>0</v>
      </c>
      <c r="U445" s="1" t="s">
        <v>835</v>
      </c>
      <c r="V445" s="1">
        <v>0</v>
      </c>
      <c r="W445" s="1">
        <f t="shared" si="6"/>
        <v>0</v>
      </c>
      <c r="X445" s="1" t="s">
        <v>835</v>
      </c>
      <c r="Y445">
        <v>1</v>
      </c>
      <c r="Z445">
        <v>0</v>
      </c>
      <c r="AA445">
        <v>85</v>
      </c>
    </row>
    <row r="446" spans="1:27" x14ac:dyDescent="0.3">
      <c r="A446" s="1" t="s">
        <v>1973</v>
      </c>
      <c r="B446">
        <v>445</v>
      </c>
      <c r="C446" s="1" t="s">
        <v>1974</v>
      </c>
      <c r="D446" s="1" t="s">
        <v>1975</v>
      </c>
      <c r="E446" s="1" t="s">
        <v>29</v>
      </c>
      <c r="F446" s="1" t="s">
        <v>667</v>
      </c>
      <c r="G446" s="1" t="s">
        <v>789</v>
      </c>
      <c r="H446" s="1" t="s">
        <v>55</v>
      </c>
      <c r="I446" s="1" t="s">
        <v>64</v>
      </c>
      <c r="J446" s="1" t="s">
        <v>41</v>
      </c>
      <c r="K446" s="1" t="s">
        <v>1976</v>
      </c>
      <c r="L446">
        <v>2</v>
      </c>
      <c r="M446">
        <v>0</v>
      </c>
      <c r="N446">
        <v>0</v>
      </c>
      <c r="O446">
        <v>2</v>
      </c>
      <c r="P446">
        <v>2</v>
      </c>
      <c r="Q446">
        <v>0</v>
      </c>
      <c r="R446">
        <v>0</v>
      </c>
      <c r="S446">
        <v>0</v>
      </c>
      <c r="T446">
        <v>0</v>
      </c>
      <c r="U446" s="1" t="s">
        <v>1977</v>
      </c>
      <c r="V446" s="1" t="s">
        <v>219</v>
      </c>
      <c r="W446" s="1">
        <f t="shared" si="6"/>
        <v>206.79</v>
      </c>
      <c r="X446" s="1" t="s">
        <v>1392</v>
      </c>
      <c r="Y446">
        <v>1</v>
      </c>
      <c r="Z446">
        <v>0</v>
      </c>
      <c r="AA446">
        <v>86</v>
      </c>
    </row>
    <row r="447" spans="1:27" x14ac:dyDescent="0.3">
      <c r="A447" s="1" t="s">
        <v>1978</v>
      </c>
      <c r="B447">
        <v>446</v>
      </c>
      <c r="C447" s="1" t="s">
        <v>1979</v>
      </c>
      <c r="D447" s="1" t="s">
        <v>1980</v>
      </c>
      <c r="E447" s="1" t="s">
        <v>39</v>
      </c>
      <c r="F447" s="1" t="s">
        <v>910</v>
      </c>
      <c r="G447" s="1" t="s">
        <v>796</v>
      </c>
      <c r="H447" s="1" t="s">
        <v>63</v>
      </c>
      <c r="I447" s="1" t="s">
        <v>64</v>
      </c>
      <c r="J447" s="1" t="s">
        <v>32</v>
      </c>
      <c r="K447" s="1" t="s">
        <v>1395</v>
      </c>
      <c r="L447">
        <v>3</v>
      </c>
      <c r="M447">
        <v>0</v>
      </c>
      <c r="N447">
        <v>0</v>
      </c>
      <c r="O447">
        <v>3</v>
      </c>
      <c r="P447">
        <v>3</v>
      </c>
      <c r="Q447">
        <v>0</v>
      </c>
      <c r="R447">
        <v>0</v>
      </c>
      <c r="S447">
        <v>0</v>
      </c>
      <c r="T447">
        <v>0</v>
      </c>
      <c r="U447" s="1" t="s">
        <v>1396</v>
      </c>
      <c r="V447" s="1" t="s">
        <v>226</v>
      </c>
      <c r="W447" s="1">
        <f t="shared" si="6"/>
        <v>94.92</v>
      </c>
      <c r="X447" s="1" t="s">
        <v>1397</v>
      </c>
      <c r="Y447">
        <v>1</v>
      </c>
      <c r="Z447">
        <v>0</v>
      </c>
      <c r="AA447">
        <v>87</v>
      </c>
    </row>
    <row r="448" spans="1:27" x14ac:dyDescent="0.3">
      <c r="A448" s="1" t="s">
        <v>1981</v>
      </c>
      <c r="B448">
        <v>447</v>
      </c>
      <c r="C448" s="1" t="s">
        <v>1982</v>
      </c>
      <c r="D448" s="1" t="s">
        <v>1983</v>
      </c>
      <c r="E448" s="1" t="s">
        <v>41</v>
      </c>
      <c r="F448" s="1" t="s">
        <v>682</v>
      </c>
      <c r="G448" s="1" t="s">
        <v>803</v>
      </c>
      <c r="H448" s="1" t="s">
        <v>74</v>
      </c>
      <c r="I448" s="1" t="s">
        <v>32</v>
      </c>
      <c r="J448" s="1" t="s">
        <v>32</v>
      </c>
      <c r="K448" s="1" t="s">
        <v>713</v>
      </c>
      <c r="L448">
        <v>3</v>
      </c>
      <c r="M448">
        <v>0</v>
      </c>
      <c r="N448">
        <v>0</v>
      </c>
      <c r="O448">
        <v>4</v>
      </c>
      <c r="P448">
        <v>3</v>
      </c>
      <c r="Q448">
        <v>0</v>
      </c>
      <c r="R448">
        <v>0</v>
      </c>
      <c r="S448">
        <v>1</v>
      </c>
      <c r="T448">
        <v>1</v>
      </c>
      <c r="U448" s="1" t="s">
        <v>713</v>
      </c>
      <c r="V448" s="1" t="s">
        <v>232</v>
      </c>
      <c r="W448" s="1">
        <f t="shared" si="6"/>
        <v>56.95</v>
      </c>
      <c r="X448" s="1" t="s">
        <v>714</v>
      </c>
      <c r="Y448">
        <v>1</v>
      </c>
      <c r="Z448">
        <v>1</v>
      </c>
      <c r="AA448">
        <v>88</v>
      </c>
    </row>
    <row r="449" spans="1:27" x14ac:dyDescent="0.3">
      <c r="A449" s="1" t="s">
        <v>1984</v>
      </c>
      <c r="B449">
        <v>448</v>
      </c>
      <c r="C449" s="1" t="s">
        <v>1985</v>
      </c>
      <c r="D449" s="1" t="s">
        <v>1986</v>
      </c>
      <c r="E449" s="1" t="s">
        <v>32</v>
      </c>
      <c r="F449" s="1" t="s">
        <v>922</v>
      </c>
      <c r="G449" s="1" t="s">
        <v>808</v>
      </c>
      <c r="H449" s="1" t="s">
        <v>29</v>
      </c>
      <c r="I449" s="1" t="s">
        <v>32</v>
      </c>
      <c r="J449" s="1" t="s">
        <v>74</v>
      </c>
      <c r="K449" s="1" t="s">
        <v>719</v>
      </c>
      <c r="L449">
        <v>3</v>
      </c>
      <c r="M449">
        <v>1</v>
      </c>
      <c r="N449">
        <v>0</v>
      </c>
      <c r="O449">
        <v>5</v>
      </c>
      <c r="P449">
        <v>4</v>
      </c>
      <c r="Q449">
        <v>0</v>
      </c>
      <c r="R449">
        <v>0</v>
      </c>
      <c r="S449">
        <v>1</v>
      </c>
      <c r="T449">
        <v>1</v>
      </c>
      <c r="U449" s="1" t="s">
        <v>720</v>
      </c>
      <c r="V449" s="1" t="s">
        <v>161</v>
      </c>
      <c r="W449" s="1">
        <f t="shared" si="6"/>
        <v>66.67</v>
      </c>
      <c r="X449" s="1" t="s">
        <v>721</v>
      </c>
      <c r="Y449">
        <v>1</v>
      </c>
      <c r="Z449">
        <v>1</v>
      </c>
      <c r="AA449">
        <v>89</v>
      </c>
    </row>
    <row r="450" spans="1:27" x14ac:dyDescent="0.3">
      <c r="A450" s="1" t="s">
        <v>1987</v>
      </c>
      <c r="B450">
        <v>449</v>
      </c>
      <c r="C450" s="1" t="s">
        <v>1988</v>
      </c>
      <c r="D450" s="1" t="s">
        <v>1989</v>
      </c>
      <c r="E450" s="1" t="s">
        <v>29</v>
      </c>
      <c r="F450" s="1" t="s">
        <v>928</v>
      </c>
      <c r="G450" s="1" t="s">
        <v>814</v>
      </c>
      <c r="H450" s="1" t="s">
        <v>32</v>
      </c>
      <c r="I450" s="1" t="s">
        <v>32</v>
      </c>
      <c r="J450" s="1" t="s">
        <v>29</v>
      </c>
      <c r="K450" s="1" t="s">
        <v>725</v>
      </c>
      <c r="L450">
        <v>3</v>
      </c>
      <c r="M450">
        <v>0</v>
      </c>
      <c r="N450">
        <v>0</v>
      </c>
      <c r="O450">
        <v>6</v>
      </c>
      <c r="P450">
        <v>3</v>
      </c>
      <c r="Q450">
        <v>0</v>
      </c>
      <c r="R450">
        <v>0</v>
      </c>
      <c r="S450">
        <v>1</v>
      </c>
      <c r="T450">
        <v>1</v>
      </c>
      <c r="U450" s="1" t="s">
        <v>726</v>
      </c>
      <c r="V450" s="1" t="s">
        <v>169</v>
      </c>
      <c r="W450" s="1">
        <f t="shared" ref="W450:W513" si="7">VALUE(SUBSTITUTE(TRIM(V450),".", ","))</f>
        <v>270.07</v>
      </c>
      <c r="X450" s="1" t="s">
        <v>727</v>
      </c>
      <c r="Y450">
        <v>1</v>
      </c>
      <c r="Z450">
        <v>1</v>
      </c>
      <c r="AA450">
        <v>90</v>
      </c>
    </row>
    <row r="451" spans="1:27" x14ac:dyDescent="0.3">
      <c r="A451" s="1" t="s">
        <v>1990</v>
      </c>
      <c r="B451">
        <v>450</v>
      </c>
      <c r="C451" s="1" t="s">
        <v>1991</v>
      </c>
      <c r="D451" s="1" t="s">
        <v>1992</v>
      </c>
      <c r="E451" s="1" t="s">
        <v>39</v>
      </c>
      <c r="F451" s="1" t="s">
        <v>703</v>
      </c>
      <c r="G451" s="1" t="s">
        <v>820</v>
      </c>
      <c r="H451" s="1" t="s">
        <v>41</v>
      </c>
      <c r="I451" s="1" t="s">
        <v>32</v>
      </c>
      <c r="J451" s="1" t="s">
        <v>75</v>
      </c>
      <c r="K451" s="1" t="s">
        <v>1411</v>
      </c>
      <c r="L451">
        <v>1</v>
      </c>
      <c r="M451">
        <v>2</v>
      </c>
      <c r="N451">
        <v>0</v>
      </c>
      <c r="O451">
        <v>1</v>
      </c>
      <c r="P451">
        <v>3</v>
      </c>
      <c r="Q451">
        <v>0</v>
      </c>
      <c r="R451">
        <v>0</v>
      </c>
      <c r="S451">
        <v>1</v>
      </c>
      <c r="T451">
        <v>1</v>
      </c>
      <c r="U451" s="1" t="s">
        <v>1411</v>
      </c>
      <c r="V451" s="1" t="s">
        <v>177</v>
      </c>
      <c r="W451" s="1">
        <f t="shared" si="7"/>
        <v>61.02</v>
      </c>
      <c r="X451" s="1" t="s">
        <v>1412</v>
      </c>
      <c r="Y451">
        <v>1</v>
      </c>
      <c r="Z451">
        <v>1</v>
      </c>
      <c r="AA451">
        <v>1</v>
      </c>
    </row>
    <row r="452" spans="1:27" x14ac:dyDescent="0.3">
      <c r="A452" s="1" t="s">
        <v>1993</v>
      </c>
      <c r="B452">
        <v>451</v>
      </c>
      <c r="C452" s="1" t="s">
        <v>1994</v>
      </c>
      <c r="D452" s="1" t="s">
        <v>1995</v>
      </c>
      <c r="E452" s="1" t="s">
        <v>41</v>
      </c>
      <c r="F452" s="1" t="s">
        <v>940</v>
      </c>
      <c r="G452" s="1" t="s">
        <v>116</v>
      </c>
      <c r="H452" s="1" t="s">
        <v>48</v>
      </c>
      <c r="I452" s="1" t="s">
        <v>32</v>
      </c>
      <c r="J452" s="1" t="s">
        <v>41</v>
      </c>
      <c r="K452" s="1" t="s">
        <v>804</v>
      </c>
      <c r="L452">
        <v>1</v>
      </c>
      <c r="M452">
        <v>0</v>
      </c>
      <c r="N452">
        <v>0</v>
      </c>
      <c r="O452">
        <v>2</v>
      </c>
      <c r="P452">
        <v>1</v>
      </c>
      <c r="Q452">
        <v>0</v>
      </c>
      <c r="R452">
        <v>0</v>
      </c>
      <c r="S452">
        <v>1</v>
      </c>
      <c r="T452">
        <v>1</v>
      </c>
      <c r="U452" s="1" t="s">
        <v>805</v>
      </c>
      <c r="V452" s="1" t="s">
        <v>87</v>
      </c>
      <c r="W452" s="1">
        <f t="shared" si="7"/>
        <v>274.58999999999997</v>
      </c>
      <c r="X452" s="1" t="s">
        <v>659</v>
      </c>
      <c r="Y452">
        <v>1</v>
      </c>
      <c r="Z452">
        <v>1</v>
      </c>
      <c r="AA452">
        <v>2</v>
      </c>
    </row>
    <row r="453" spans="1:27" x14ac:dyDescent="0.3">
      <c r="A453" s="1" t="s">
        <v>1996</v>
      </c>
      <c r="B453">
        <v>452</v>
      </c>
      <c r="C453" s="1" t="s">
        <v>1997</v>
      </c>
      <c r="D453" s="1" t="s">
        <v>1998</v>
      </c>
      <c r="E453" s="1" t="s">
        <v>32</v>
      </c>
      <c r="F453" s="1" t="s">
        <v>947</v>
      </c>
      <c r="G453" s="1" t="s">
        <v>833</v>
      </c>
      <c r="H453" s="1" t="s">
        <v>55</v>
      </c>
      <c r="I453" s="1" t="s">
        <v>32</v>
      </c>
      <c r="J453" s="1" t="s">
        <v>32</v>
      </c>
      <c r="K453" s="1" t="s">
        <v>743</v>
      </c>
      <c r="L453">
        <v>1</v>
      </c>
      <c r="M453">
        <v>1</v>
      </c>
      <c r="N453">
        <v>0</v>
      </c>
      <c r="O453">
        <v>3</v>
      </c>
      <c r="P453">
        <v>2</v>
      </c>
      <c r="Q453">
        <v>0</v>
      </c>
      <c r="R453">
        <v>0</v>
      </c>
      <c r="S453">
        <v>1</v>
      </c>
      <c r="T453">
        <v>1</v>
      </c>
      <c r="U453" s="1" t="s">
        <v>744</v>
      </c>
      <c r="V453" s="1" t="s">
        <v>257</v>
      </c>
      <c r="W453" s="1">
        <f t="shared" si="7"/>
        <v>222.95</v>
      </c>
      <c r="X453" s="1" t="s">
        <v>663</v>
      </c>
      <c r="Y453">
        <v>1</v>
      </c>
      <c r="Z453">
        <v>1</v>
      </c>
      <c r="AA453">
        <v>3</v>
      </c>
    </row>
    <row r="454" spans="1:27" x14ac:dyDescent="0.3">
      <c r="A454" s="1" t="s">
        <v>1999</v>
      </c>
      <c r="B454">
        <v>453</v>
      </c>
      <c r="C454" s="1" t="s">
        <v>2000</v>
      </c>
      <c r="D454" s="1" t="s">
        <v>840</v>
      </c>
      <c r="E454" s="1" t="s">
        <v>29</v>
      </c>
      <c r="F454" s="1" t="s">
        <v>840</v>
      </c>
      <c r="G454" s="1" t="s">
        <v>840</v>
      </c>
      <c r="H454" s="1" t="s">
        <v>63</v>
      </c>
      <c r="I454" s="1" t="s">
        <v>32</v>
      </c>
      <c r="J454" s="1" t="s">
        <v>74</v>
      </c>
      <c r="K454" s="1" t="s">
        <v>815</v>
      </c>
      <c r="L454">
        <v>2</v>
      </c>
      <c r="M454">
        <v>0</v>
      </c>
      <c r="N454">
        <v>0</v>
      </c>
      <c r="O454">
        <v>4</v>
      </c>
      <c r="P454">
        <v>2</v>
      </c>
      <c r="Q454">
        <v>0</v>
      </c>
      <c r="R454">
        <v>0</v>
      </c>
      <c r="S454">
        <v>1</v>
      </c>
      <c r="T454">
        <v>1</v>
      </c>
      <c r="U454" s="1" t="s">
        <v>815</v>
      </c>
      <c r="V454" s="1" t="s">
        <v>104</v>
      </c>
      <c r="W454" s="1">
        <f t="shared" si="7"/>
        <v>76.84</v>
      </c>
      <c r="X454" s="1" t="s">
        <v>816</v>
      </c>
      <c r="Y454">
        <v>1</v>
      </c>
      <c r="Z454">
        <v>1</v>
      </c>
      <c r="AA454">
        <v>4</v>
      </c>
    </row>
    <row r="455" spans="1:27" x14ac:dyDescent="0.3">
      <c r="A455" s="1" t="s">
        <v>2001</v>
      </c>
      <c r="B455">
        <v>454</v>
      </c>
      <c r="C455" s="1" t="s">
        <v>2002</v>
      </c>
      <c r="D455" s="1" t="s">
        <v>2003</v>
      </c>
      <c r="E455" s="1" t="s">
        <v>39</v>
      </c>
      <c r="F455" s="1" t="s">
        <v>958</v>
      </c>
      <c r="G455" s="1" t="s">
        <v>844</v>
      </c>
      <c r="H455" s="1" t="s">
        <v>74</v>
      </c>
      <c r="I455" s="1" t="s">
        <v>32</v>
      </c>
      <c r="J455" s="1" t="s">
        <v>29</v>
      </c>
      <c r="K455" s="1" t="s">
        <v>755</v>
      </c>
      <c r="L455">
        <v>2</v>
      </c>
      <c r="M455">
        <v>0</v>
      </c>
      <c r="N455">
        <v>0</v>
      </c>
      <c r="O455">
        <v>5</v>
      </c>
      <c r="P455">
        <v>2</v>
      </c>
      <c r="Q455">
        <v>0</v>
      </c>
      <c r="R455">
        <v>0</v>
      </c>
      <c r="S455">
        <v>1</v>
      </c>
      <c r="T455">
        <v>1</v>
      </c>
      <c r="U455" s="1" t="s">
        <v>756</v>
      </c>
      <c r="V455" s="1" t="s">
        <v>270</v>
      </c>
      <c r="W455" s="1">
        <f t="shared" si="7"/>
        <v>73.789999999999907</v>
      </c>
      <c r="X455" s="1" t="s">
        <v>757</v>
      </c>
      <c r="Y455">
        <v>1</v>
      </c>
      <c r="Z455">
        <v>1</v>
      </c>
      <c r="AA455">
        <v>5</v>
      </c>
    </row>
    <row r="456" spans="1:27" x14ac:dyDescent="0.3">
      <c r="A456" s="1" t="s">
        <v>2004</v>
      </c>
      <c r="B456">
        <v>455</v>
      </c>
      <c r="C456" s="1" t="s">
        <v>2005</v>
      </c>
      <c r="D456" s="1" t="s">
        <v>2006</v>
      </c>
      <c r="E456" s="1" t="s">
        <v>41</v>
      </c>
      <c r="F456" s="1" t="s">
        <v>964</v>
      </c>
      <c r="G456" s="1" t="s">
        <v>851</v>
      </c>
      <c r="H456" s="1" t="s">
        <v>29</v>
      </c>
      <c r="I456" s="1" t="s">
        <v>32</v>
      </c>
      <c r="J456" s="1" t="s">
        <v>75</v>
      </c>
      <c r="K456" s="1" t="s">
        <v>1434</v>
      </c>
      <c r="L456">
        <v>2</v>
      </c>
      <c r="M456">
        <v>0</v>
      </c>
      <c r="N456">
        <v>0</v>
      </c>
      <c r="O456">
        <v>6</v>
      </c>
      <c r="P456">
        <v>2</v>
      </c>
      <c r="Q456">
        <v>0</v>
      </c>
      <c r="R456">
        <v>0</v>
      </c>
      <c r="S456">
        <v>1</v>
      </c>
      <c r="T456">
        <v>1</v>
      </c>
      <c r="U456" s="1" t="s">
        <v>1435</v>
      </c>
      <c r="V456" s="1" t="s">
        <v>169</v>
      </c>
      <c r="W456" s="1">
        <f t="shared" si="7"/>
        <v>270.07</v>
      </c>
      <c r="X456" s="1" t="s">
        <v>1436</v>
      </c>
      <c r="Y456">
        <v>1</v>
      </c>
      <c r="Z456">
        <v>1</v>
      </c>
      <c r="AA456">
        <v>6</v>
      </c>
    </row>
    <row r="457" spans="1:27" x14ac:dyDescent="0.3">
      <c r="A457" s="1" t="s">
        <v>2007</v>
      </c>
      <c r="B457">
        <v>456</v>
      </c>
      <c r="C457" s="1" t="s">
        <v>2008</v>
      </c>
      <c r="D457" s="1" t="s">
        <v>2009</v>
      </c>
      <c r="E457" s="1" t="s">
        <v>32</v>
      </c>
      <c r="F457" s="1" t="s">
        <v>856</v>
      </c>
      <c r="G457" s="1" t="s">
        <v>858</v>
      </c>
      <c r="H457" s="1" t="s">
        <v>32</v>
      </c>
      <c r="I457" s="1" t="s">
        <v>32</v>
      </c>
      <c r="J457" s="1" t="s">
        <v>41</v>
      </c>
      <c r="K457" s="1" t="s">
        <v>1440</v>
      </c>
      <c r="L457">
        <v>3</v>
      </c>
      <c r="M457">
        <v>2</v>
      </c>
      <c r="N457">
        <v>1</v>
      </c>
      <c r="O457">
        <v>1</v>
      </c>
      <c r="P457">
        <v>6</v>
      </c>
      <c r="Q457">
        <v>0</v>
      </c>
      <c r="R457">
        <v>0</v>
      </c>
      <c r="S457">
        <v>1</v>
      </c>
      <c r="T457">
        <v>1</v>
      </c>
      <c r="U457" s="1" t="s">
        <v>1440</v>
      </c>
      <c r="V457" s="1" t="s">
        <v>127</v>
      </c>
      <c r="W457" s="1">
        <f t="shared" si="7"/>
        <v>47.46</v>
      </c>
      <c r="X457" s="1" t="s">
        <v>835</v>
      </c>
      <c r="Y457">
        <v>1</v>
      </c>
      <c r="Z457">
        <v>1</v>
      </c>
      <c r="AA457">
        <v>7</v>
      </c>
    </row>
    <row r="458" spans="1:27" x14ac:dyDescent="0.3">
      <c r="A458" s="1" t="s">
        <v>2010</v>
      </c>
      <c r="B458">
        <v>457</v>
      </c>
      <c r="C458" s="1" t="s">
        <v>2011</v>
      </c>
      <c r="D458" s="1" t="s">
        <v>2012</v>
      </c>
      <c r="E458" s="1" t="s">
        <v>29</v>
      </c>
      <c r="F458" s="1" t="s">
        <v>976</v>
      </c>
      <c r="G458" s="1" t="s">
        <v>862</v>
      </c>
      <c r="H458" s="1" t="s">
        <v>41</v>
      </c>
      <c r="I458" s="1" t="s">
        <v>32</v>
      </c>
      <c r="J458" s="1" t="s">
        <v>32</v>
      </c>
      <c r="K458" s="1" t="s">
        <v>696</v>
      </c>
      <c r="L458">
        <v>3</v>
      </c>
      <c r="M458">
        <v>0</v>
      </c>
      <c r="N458">
        <v>0</v>
      </c>
      <c r="O458">
        <v>2</v>
      </c>
      <c r="P458">
        <v>3</v>
      </c>
      <c r="Q458">
        <v>0</v>
      </c>
      <c r="R458">
        <v>0</v>
      </c>
      <c r="S458">
        <v>1</v>
      </c>
      <c r="T458">
        <v>1</v>
      </c>
      <c r="U458" s="1" t="s">
        <v>697</v>
      </c>
      <c r="V458" s="1" t="s">
        <v>288</v>
      </c>
      <c r="W458" s="1">
        <f t="shared" si="7"/>
        <v>301.70999999999998</v>
      </c>
      <c r="X458" s="1" t="s">
        <v>698</v>
      </c>
      <c r="Y458">
        <v>1</v>
      </c>
      <c r="Z458">
        <v>1</v>
      </c>
      <c r="AA458">
        <v>8</v>
      </c>
    </row>
    <row r="459" spans="1:27" x14ac:dyDescent="0.3">
      <c r="A459" s="1" t="s">
        <v>2013</v>
      </c>
      <c r="B459">
        <v>458</v>
      </c>
      <c r="C459" s="1" t="s">
        <v>2014</v>
      </c>
      <c r="D459" s="1" t="s">
        <v>2015</v>
      </c>
      <c r="E459" s="1" t="s">
        <v>39</v>
      </c>
      <c r="F459" s="1" t="s">
        <v>754</v>
      </c>
      <c r="G459" s="1" t="s">
        <v>868</v>
      </c>
      <c r="H459" s="1" t="s">
        <v>48</v>
      </c>
      <c r="I459" s="1" t="s">
        <v>32</v>
      </c>
      <c r="J459" s="1" t="s">
        <v>74</v>
      </c>
      <c r="K459" s="1" t="s">
        <v>845</v>
      </c>
      <c r="L459">
        <v>3</v>
      </c>
      <c r="M459">
        <v>0</v>
      </c>
      <c r="N459">
        <v>0</v>
      </c>
      <c r="O459">
        <v>3</v>
      </c>
      <c r="P459">
        <v>3</v>
      </c>
      <c r="Q459">
        <v>0</v>
      </c>
      <c r="R459">
        <v>0</v>
      </c>
      <c r="S459">
        <v>1</v>
      </c>
      <c r="T459">
        <v>1</v>
      </c>
      <c r="U459" s="1" t="s">
        <v>846</v>
      </c>
      <c r="V459" s="1" t="s">
        <v>144</v>
      </c>
      <c r="W459" s="1">
        <f t="shared" si="7"/>
        <v>202.26999999999899</v>
      </c>
      <c r="X459" s="1" t="s">
        <v>776</v>
      </c>
      <c r="Y459">
        <v>1</v>
      </c>
      <c r="Z459">
        <v>1</v>
      </c>
      <c r="AA459">
        <v>9</v>
      </c>
    </row>
    <row r="460" spans="1:27" x14ac:dyDescent="0.3">
      <c r="A460" s="1" t="s">
        <v>2016</v>
      </c>
      <c r="B460">
        <v>459</v>
      </c>
      <c r="C460" s="1" t="s">
        <v>2017</v>
      </c>
      <c r="D460" s="1" t="s">
        <v>873</v>
      </c>
      <c r="E460" s="1" t="s">
        <v>41</v>
      </c>
      <c r="F460" s="1" t="s">
        <v>873</v>
      </c>
      <c r="G460" s="1" t="s">
        <v>873</v>
      </c>
      <c r="H460" s="1" t="s">
        <v>55</v>
      </c>
      <c r="I460" s="1" t="s">
        <v>32</v>
      </c>
      <c r="J460" s="1" t="s">
        <v>29</v>
      </c>
      <c r="K460" s="1" t="s">
        <v>2018</v>
      </c>
      <c r="L460">
        <v>3</v>
      </c>
      <c r="M460">
        <v>0</v>
      </c>
      <c r="N460">
        <v>0</v>
      </c>
      <c r="O460">
        <v>4</v>
      </c>
      <c r="P460">
        <v>3</v>
      </c>
      <c r="Q460">
        <v>0</v>
      </c>
      <c r="R460">
        <v>0</v>
      </c>
      <c r="S460">
        <v>1</v>
      </c>
      <c r="T460">
        <v>1</v>
      </c>
      <c r="U460" s="1" t="s">
        <v>2018</v>
      </c>
      <c r="V460" s="1" t="s">
        <v>152</v>
      </c>
      <c r="W460" s="1">
        <f t="shared" si="7"/>
        <v>63.28</v>
      </c>
      <c r="X460" s="1" t="s">
        <v>1454</v>
      </c>
      <c r="Y460">
        <v>1</v>
      </c>
      <c r="Z460">
        <v>1</v>
      </c>
      <c r="AA460">
        <v>10</v>
      </c>
    </row>
    <row r="461" spans="1:27" x14ac:dyDescent="0.3">
      <c r="A461" s="1" t="s">
        <v>2019</v>
      </c>
      <c r="B461">
        <v>460</v>
      </c>
      <c r="C461" s="1" t="s">
        <v>2020</v>
      </c>
      <c r="D461" s="1" t="s">
        <v>2021</v>
      </c>
      <c r="E461" s="1" t="s">
        <v>32</v>
      </c>
      <c r="F461" s="1" t="s">
        <v>990</v>
      </c>
      <c r="G461" s="1" t="s">
        <v>880</v>
      </c>
      <c r="H461" s="1" t="s">
        <v>63</v>
      </c>
      <c r="I461" s="1" t="s">
        <v>32</v>
      </c>
      <c r="J461" s="1" t="s">
        <v>75</v>
      </c>
      <c r="K461" s="1" t="s">
        <v>2022</v>
      </c>
      <c r="L461">
        <v>1</v>
      </c>
      <c r="M461">
        <v>1</v>
      </c>
      <c r="N461">
        <v>0</v>
      </c>
      <c r="O461">
        <v>5</v>
      </c>
      <c r="P461">
        <v>2</v>
      </c>
      <c r="Q461">
        <v>0</v>
      </c>
      <c r="R461">
        <v>0</v>
      </c>
      <c r="S461">
        <v>1</v>
      </c>
      <c r="T461">
        <v>1</v>
      </c>
      <c r="U461" s="1" t="s">
        <v>2023</v>
      </c>
      <c r="V461" s="1" t="s">
        <v>304</v>
      </c>
      <c r="W461" s="1">
        <f t="shared" si="7"/>
        <v>64.41</v>
      </c>
      <c r="X461" s="1" t="s">
        <v>1460</v>
      </c>
      <c r="Y461">
        <v>1</v>
      </c>
      <c r="Z461">
        <v>1</v>
      </c>
      <c r="AA461">
        <v>11</v>
      </c>
    </row>
    <row r="462" spans="1:27" x14ac:dyDescent="0.3">
      <c r="A462" s="1" t="s">
        <v>2024</v>
      </c>
      <c r="B462">
        <v>461</v>
      </c>
      <c r="C462" s="1" t="s">
        <v>2025</v>
      </c>
      <c r="D462" s="1" t="s">
        <v>996</v>
      </c>
      <c r="E462" s="1" t="s">
        <v>29</v>
      </c>
      <c r="F462" s="1" t="s">
        <v>996</v>
      </c>
      <c r="G462" s="1" t="s">
        <v>887</v>
      </c>
      <c r="H462" s="1" t="s">
        <v>74</v>
      </c>
      <c r="I462" s="1" t="s">
        <v>33</v>
      </c>
      <c r="J462" s="1" t="s">
        <v>33</v>
      </c>
      <c r="K462" s="1" t="s">
        <v>34</v>
      </c>
      <c r="L462">
        <v>1</v>
      </c>
      <c r="M462">
        <v>0</v>
      </c>
      <c r="N462">
        <v>0</v>
      </c>
      <c r="O462">
        <v>6</v>
      </c>
      <c r="P462">
        <v>1</v>
      </c>
      <c r="Q462">
        <v>1</v>
      </c>
      <c r="R462">
        <v>0</v>
      </c>
      <c r="S462">
        <v>0</v>
      </c>
      <c r="T462">
        <v>0</v>
      </c>
      <c r="U462" s="1" t="s">
        <v>932</v>
      </c>
      <c r="V462" s="1">
        <v>0</v>
      </c>
      <c r="W462" s="1">
        <f t="shared" si="7"/>
        <v>0</v>
      </c>
      <c r="X462" s="1" t="s">
        <v>932</v>
      </c>
      <c r="Y462">
        <v>1</v>
      </c>
      <c r="Z462">
        <v>0</v>
      </c>
      <c r="AA462">
        <v>12</v>
      </c>
    </row>
    <row r="463" spans="1:27" x14ac:dyDescent="0.3">
      <c r="A463" s="1" t="s">
        <v>2026</v>
      </c>
      <c r="B463">
        <v>462</v>
      </c>
      <c r="C463" s="1" t="s">
        <v>2027</v>
      </c>
      <c r="D463" s="1" t="s">
        <v>1000</v>
      </c>
      <c r="E463" s="1" t="s">
        <v>39</v>
      </c>
      <c r="F463" s="1" t="s">
        <v>1000</v>
      </c>
      <c r="G463" s="1" t="s">
        <v>891</v>
      </c>
      <c r="H463" s="1" t="s">
        <v>29</v>
      </c>
      <c r="I463" s="1" t="s">
        <v>33</v>
      </c>
      <c r="J463" s="1" t="s">
        <v>33</v>
      </c>
      <c r="K463" s="1" t="s">
        <v>34</v>
      </c>
      <c r="L463">
        <v>1</v>
      </c>
      <c r="M463">
        <v>2</v>
      </c>
      <c r="N463">
        <v>0</v>
      </c>
      <c r="O463">
        <v>1</v>
      </c>
      <c r="P463">
        <v>3</v>
      </c>
      <c r="Q463">
        <v>1</v>
      </c>
      <c r="R463">
        <v>0</v>
      </c>
      <c r="S463">
        <v>0</v>
      </c>
      <c r="T463">
        <v>0</v>
      </c>
      <c r="U463" s="1">
        <v>226</v>
      </c>
      <c r="V463" s="1">
        <v>0</v>
      </c>
      <c r="W463" s="1">
        <f t="shared" si="7"/>
        <v>0</v>
      </c>
      <c r="X463" s="1">
        <v>226</v>
      </c>
      <c r="Y463">
        <v>1</v>
      </c>
      <c r="Z463">
        <v>0</v>
      </c>
      <c r="AA463">
        <v>13</v>
      </c>
    </row>
    <row r="464" spans="1:27" x14ac:dyDescent="0.3">
      <c r="A464" s="1" t="s">
        <v>2028</v>
      </c>
      <c r="B464">
        <v>463</v>
      </c>
      <c r="C464" s="1" t="s">
        <v>2029</v>
      </c>
      <c r="D464" s="1" t="s">
        <v>2030</v>
      </c>
      <c r="E464" s="1" t="s">
        <v>41</v>
      </c>
      <c r="F464" s="1" t="s">
        <v>780</v>
      </c>
      <c r="G464" s="1" t="s">
        <v>894</v>
      </c>
      <c r="H464" s="1" t="s">
        <v>32</v>
      </c>
      <c r="I464" s="1" t="s">
        <v>33</v>
      </c>
      <c r="J464" s="1" t="s">
        <v>33</v>
      </c>
      <c r="K464" s="1" t="s">
        <v>34</v>
      </c>
      <c r="L464">
        <v>2</v>
      </c>
      <c r="M464">
        <v>0</v>
      </c>
      <c r="N464">
        <v>0</v>
      </c>
      <c r="O464">
        <v>2</v>
      </c>
      <c r="P464">
        <v>2</v>
      </c>
      <c r="Q464">
        <v>1</v>
      </c>
      <c r="R464">
        <v>0</v>
      </c>
      <c r="S464">
        <v>0</v>
      </c>
      <c r="T464">
        <v>0</v>
      </c>
      <c r="U464" s="1" t="s">
        <v>121</v>
      </c>
      <c r="V464" s="1">
        <v>0</v>
      </c>
      <c r="W464" s="1">
        <f t="shared" si="7"/>
        <v>0</v>
      </c>
      <c r="X464" s="1" t="s">
        <v>121</v>
      </c>
      <c r="Y464">
        <v>1</v>
      </c>
      <c r="Z464">
        <v>0</v>
      </c>
      <c r="AA464">
        <v>14</v>
      </c>
    </row>
    <row r="465" spans="1:27" x14ac:dyDescent="0.3">
      <c r="A465" s="1" t="s">
        <v>2031</v>
      </c>
      <c r="B465">
        <v>464</v>
      </c>
      <c r="C465" s="1" t="s">
        <v>2032</v>
      </c>
      <c r="D465" s="1" t="s">
        <v>2033</v>
      </c>
      <c r="E465" s="1" t="s">
        <v>32</v>
      </c>
      <c r="F465" s="1" t="s">
        <v>1007</v>
      </c>
      <c r="G465" s="1" t="s">
        <v>52</v>
      </c>
      <c r="H465" s="1" t="s">
        <v>41</v>
      </c>
      <c r="I465" s="1" t="s">
        <v>56</v>
      </c>
      <c r="J465" s="1" t="s">
        <v>33</v>
      </c>
      <c r="K465" s="1" t="s">
        <v>34</v>
      </c>
      <c r="L465">
        <v>2</v>
      </c>
      <c r="M465">
        <v>1</v>
      </c>
      <c r="N465">
        <v>0</v>
      </c>
      <c r="O465">
        <v>3</v>
      </c>
      <c r="P465">
        <v>3</v>
      </c>
      <c r="Q465">
        <v>0</v>
      </c>
      <c r="R465">
        <v>1</v>
      </c>
      <c r="S465">
        <v>0</v>
      </c>
      <c r="T465">
        <v>0</v>
      </c>
      <c r="U465" s="1" t="s">
        <v>950</v>
      </c>
      <c r="V465" s="1">
        <v>0</v>
      </c>
      <c r="W465" s="1">
        <f t="shared" si="7"/>
        <v>0</v>
      </c>
      <c r="X465" s="1" t="s">
        <v>950</v>
      </c>
      <c r="Y465">
        <v>1</v>
      </c>
      <c r="Z465">
        <v>0</v>
      </c>
      <c r="AA465">
        <v>15</v>
      </c>
    </row>
    <row r="466" spans="1:27" x14ac:dyDescent="0.3">
      <c r="A466" s="1" t="s">
        <v>2034</v>
      </c>
      <c r="B466">
        <v>465</v>
      </c>
      <c r="C466" s="1" t="s">
        <v>2035</v>
      </c>
      <c r="D466" s="1" t="s">
        <v>2036</v>
      </c>
      <c r="E466" s="1" t="s">
        <v>29</v>
      </c>
      <c r="F466" s="1" t="s">
        <v>1012</v>
      </c>
      <c r="G466" s="1" t="s">
        <v>61</v>
      </c>
      <c r="H466" s="1" t="s">
        <v>48</v>
      </c>
      <c r="I466" s="1" t="s">
        <v>64</v>
      </c>
      <c r="J466" s="1" t="s">
        <v>32</v>
      </c>
      <c r="K466" s="1" t="s">
        <v>2037</v>
      </c>
      <c r="L466">
        <v>2</v>
      </c>
      <c r="M466">
        <v>0</v>
      </c>
      <c r="N466">
        <v>0</v>
      </c>
      <c r="O466">
        <v>4</v>
      </c>
      <c r="P466">
        <v>2</v>
      </c>
      <c r="Q466">
        <v>0</v>
      </c>
      <c r="R466">
        <v>0</v>
      </c>
      <c r="S466">
        <v>0</v>
      </c>
      <c r="T466">
        <v>0</v>
      </c>
      <c r="U466" s="1" t="s">
        <v>1592</v>
      </c>
      <c r="V466" s="1" t="s">
        <v>104</v>
      </c>
      <c r="W466" s="1">
        <f t="shared" si="7"/>
        <v>76.84</v>
      </c>
      <c r="X466" s="1" t="s">
        <v>2038</v>
      </c>
      <c r="Y466">
        <v>1</v>
      </c>
      <c r="Z466">
        <v>0</v>
      </c>
      <c r="AA466">
        <v>16</v>
      </c>
    </row>
    <row r="467" spans="1:27" x14ac:dyDescent="0.3">
      <c r="A467" s="1" t="s">
        <v>2039</v>
      </c>
      <c r="B467">
        <v>466</v>
      </c>
      <c r="C467" s="1" t="s">
        <v>2040</v>
      </c>
      <c r="D467" s="1" t="s">
        <v>2041</v>
      </c>
      <c r="E467" s="1" t="s">
        <v>39</v>
      </c>
      <c r="F467" s="1" t="s">
        <v>909</v>
      </c>
      <c r="G467" s="1" t="s">
        <v>71</v>
      </c>
      <c r="H467" s="1" t="s">
        <v>55</v>
      </c>
      <c r="I467" s="1" t="s">
        <v>64</v>
      </c>
      <c r="J467" s="1" t="s">
        <v>74</v>
      </c>
      <c r="K467" s="1" t="s">
        <v>2042</v>
      </c>
      <c r="L467">
        <v>3</v>
      </c>
      <c r="M467">
        <v>0</v>
      </c>
      <c r="N467">
        <v>0</v>
      </c>
      <c r="O467">
        <v>5</v>
      </c>
      <c r="P467">
        <v>3</v>
      </c>
      <c r="Q467">
        <v>0</v>
      </c>
      <c r="R467">
        <v>0</v>
      </c>
      <c r="S467">
        <v>0</v>
      </c>
      <c r="T467">
        <v>0</v>
      </c>
      <c r="U467" s="1" t="s">
        <v>2043</v>
      </c>
      <c r="V467" s="1" t="s">
        <v>304</v>
      </c>
      <c r="W467" s="1">
        <f t="shared" si="7"/>
        <v>64.41</v>
      </c>
      <c r="X467" s="1">
        <v>1130</v>
      </c>
      <c r="Y467">
        <v>1</v>
      </c>
      <c r="Z467">
        <v>0</v>
      </c>
      <c r="AA467">
        <v>17</v>
      </c>
    </row>
    <row r="468" spans="1:27" x14ac:dyDescent="0.3">
      <c r="A468" s="1" t="s">
        <v>2044</v>
      </c>
      <c r="B468">
        <v>467</v>
      </c>
      <c r="C468" s="1" t="s">
        <v>2045</v>
      </c>
      <c r="D468" s="1" t="s">
        <v>2046</v>
      </c>
      <c r="E468" s="1" t="s">
        <v>41</v>
      </c>
      <c r="F468" s="1" t="s">
        <v>1024</v>
      </c>
      <c r="G468" s="1" t="s">
        <v>83</v>
      </c>
      <c r="H468" s="1" t="s">
        <v>63</v>
      </c>
      <c r="I468" s="1" t="s">
        <v>32</v>
      </c>
      <c r="J468" s="1" t="s">
        <v>74</v>
      </c>
      <c r="K468" s="1" t="s">
        <v>2047</v>
      </c>
      <c r="L468">
        <v>3</v>
      </c>
      <c r="M468">
        <v>0</v>
      </c>
      <c r="N468">
        <v>0</v>
      </c>
      <c r="O468">
        <v>6</v>
      </c>
      <c r="P468">
        <v>3</v>
      </c>
      <c r="Q468">
        <v>0</v>
      </c>
      <c r="R468">
        <v>0</v>
      </c>
      <c r="S468">
        <v>1</v>
      </c>
      <c r="T468">
        <v>1</v>
      </c>
      <c r="U468" s="1" t="s">
        <v>2048</v>
      </c>
      <c r="V468" s="1" t="s">
        <v>345</v>
      </c>
      <c r="W468" s="1">
        <f t="shared" si="7"/>
        <v>265.32</v>
      </c>
      <c r="X468" s="1" t="s">
        <v>895</v>
      </c>
      <c r="Y468">
        <v>1</v>
      </c>
      <c r="Z468">
        <v>1</v>
      </c>
      <c r="AA468">
        <v>18</v>
      </c>
    </row>
    <row r="469" spans="1:27" x14ac:dyDescent="0.3">
      <c r="A469" s="1" t="s">
        <v>2049</v>
      </c>
      <c r="B469">
        <v>468</v>
      </c>
      <c r="C469" s="1" t="s">
        <v>2050</v>
      </c>
      <c r="D469" s="1" t="s">
        <v>2051</v>
      </c>
      <c r="E469" s="1" t="s">
        <v>32</v>
      </c>
      <c r="F469" s="1" t="s">
        <v>921</v>
      </c>
      <c r="G469" s="1" t="s">
        <v>923</v>
      </c>
      <c r="H469" s="1" t="s">
        <v>74</v>
      </c>
      <c r="I469" s="1" t="s">
        <v>32</v>
      </c>
      <c r="J469" s="1" t="s">
        <v>29</v>
      </c>
      <c r="K469" s="1" t="s">
        <v>2052</v>
      </c>
      <c r="L469">
        <v>3</v>
      </c>
      <c r="M469">
        <v>2</v>
      </c>
      <c r="N469">
        <v>1</v>
      </c>
      <c r="O469">
        <v>1</v>
      </c>
      <c r="P469">
        <v>6</v>
      </c>
      <c r="Q469">
        <v>0</v>
      </c>
      <c r="R469">
        <v>0</v>
      </c>
      <c r="S469">
        <v>1</v>
      </c>
      <c r="T469">
        <v>1</v>
      </c>
      <c r="U469" s="1" t="s">
        <v>2052</v>
      </c>
      <c r="V469" s="1" t="s">
        <v>353</v>
      </c>
      <c r="W469" s="1">
        <f t="shared" si="7"/>
        <v>42.71</v>
      </c>
      <c r="X469" s="1" t="s">
        <v>2053</v>
      </c>
      <c r="Y469">
        <v>1</v>
      </c>
      <c r="Z469">
        <v>1</v>
      </c>
      <c r="AA469">
        <v>19</v>
      </c>
    </row>
    <row r="470" spans="1:27" x14ac:dyDescent="0.3">
      <c r="A470" s="1" t="s">
        <v>2054</v>
      </c>
      <c r="B470">
        <v>469</v>
      </c>
      <c r="C470" s="1" t="s">
        <v>2055</v>
      </c>
      <c r="D470" s="1" t="s">
        <v>929</v>
      </c>
      <c r="E470" s="1" t="s">
        <v>29</v>
      </c>
      <c r="F470" s="1" t="s">
        <v>814</v>
      </c>
      <c r="G470" s="1" t="s">
        <v>929</v>
      </c>
      <c r="H470" s="1" t="s">
        <v>29</v>
      </c>
      <c r="I470" s="1" t="s">
        <v>32</v>
      </c>
      <c r="J470" s="1" t="s">
        <v>75</v>
      </c>
      <c r="K470" s="1" t="s">
        <v>977</v>
      </c>
      <c r="L470">
        <v>3</v>
      </c>
      <c r="M470">
        <v>0</v>
      </c>
      <c r="N470">
        <v>0</v>
      </c>
      <c r="O470">
        <v>2</v>
      </c>
      <c r="P470">
        <v>3</v>
      </c>
      <c r="Q470">
        <v>0</v>
      </c>
      <c r="R470">
        <v>0</v>
      </c>
      <c r="S470">
        <v>1</v>
      </c>
      <c r="T470">
        <v>1</v>
      </c>
      <c r="U470" s="1" t="s">
        <v>978</v>
      </c>
      <c r="V470" s="1" t="s">
        <v>288</v>
      </c>
      <c r="W470" s="1">
        <f t="shared" si="7"/>
        <v>301.70999999999998</v>
      </c>
      <c r="X470" s="1" t="s">
        <v>979</v>
      </c>
      <c r="Y470">
        <v>1</v>
      </c>
      <c r="Z470">
        <v>1</v>
      </c>
      <c r="AA470">
        <v>20</v>
      </c>
    </row>
    <row r="471" spans="1:27" x14ac:dyDescent="0.3">
      <c r="A471" s="1" t="s">
        <v>2056</v>
      </c>
      <c r="B471">
        <v>470</v>
      </c>
      <c r="C471" s="1" t="s">
        <v>2057</v>
      </c>
      <c r="D471" s="1" t="s">
        <v>935</v>
      </c>
      <c r="E471" s="1" t="s">
        <v>39</v>
      </c>
      <c r="F471" s="1" t="s">
        <v>820</v>
      </c>
      <c r="G471" s="1" t="s">
        <v>935</v>
      </c>
      <c r="H471" s="1" t="s">
        <v>32</v>
      </c>
      <c r="I471" s="1" t="s">
        <v>32</v>
      </c>
      <c r="J471" s="1" t="s">
        <v>41</v>
      </c>
      <c r="K471" s="1" t="s">
        <v>2058</v>
      </c>
      <c r="L471">
        <v>1</v>
      </c>
      <c r="M471">
        <v>0</v>
      </c>
      <c r="N471">
        <v>0</v>
      </c>
      <c r="O471">
        <v>3</v>
      </c>
      <c r="P471">
        <v>1</v>
      </c>
      <c r="Q471">
        <v>0</v>
      </c>
      <c r="R471">
        <v>0</v>
      </c>
      <c r="S471">
        <v>1</v>
      </c>
      <c r="T471">
        <v>1</v>
      </c>
      <c r="U471" s="1" t="s">
        <v>2059</v>
      </c>
      <c r="V471" s="1" t="s">
        <v>144</v>
      </c>
      <c r="W471" s="1">
        <f t="shared" si="7"/>
        <v>202.26999999999899</v>
      </c>
      <c r="X471" s="1" t="s">
        <v>2060</v>
      </c>
      <c r="Y471">
        <v>1</v>
      </c>
      <c r="Z471">
        <v>1</v>
      </c>
      <c r="AA471">
        <v>21</v>
      </c>
    </row>
    <row r="472" spans="1:27" x14ac:dyDescent="0.3">
      <c r="A472" s="1" t="s">
        <v>2061</v>
      </c>
      <c r="B472">
        <v>471</v>
      </c>
      <c r="C472" s="1" t="s">
        <v>2062</v>
      </c>
      <c r="D472" s="1" t="s">
        <v>1042</v>
      </c>
      <c r="E472" s="1" t="s">
        <v>41</v>
      </c>
      <c r="F472" s="1" t="s">
        <v>1042</v>
      </c>
      <c r="G472" s="1" t="s">
        <v>941</v>
      </c>
      <c r="H472" s="1" t="s">
        <v>41</v>
      </c>
      <c r="I472" s="1" t="s">
        <v>32</v>
      </c>
      <c r="J472" s="1" t="s">
        <v>32</v>
      </c>
      <c r="K472" s="1" t="s">
        <v>917</v>
      </c>
      <c r="L472">
        <v>1</v>
      </c>
      <c r="M472">
        <v>0</v>
      </c>
      <c r="N472">
        <v>0</v>
      </c>
      <c r="O472">
        <v>4</v>
      </c>
      <c r="P472">
        <v>1</v>
      </c>
      <c r="Q472">
        <v>0</v>
      </c>
      <c r="R472">
        <v>0</v>
      </c>
      <c r="S472">
        <v>1</v>
      </c>
      <c r="T472">
        <v>1</v>
      </c>
      <c r="U472" s="1" t="s">
        <v>917</v>
      </c>
      <c r="V472" s="1" t="s">
        <v>152</v>
      </c>
      <c r="W472" s="1">
        <f t="shared" si="7"/>
        <v>63.28</v>
      </c>
      <c r="X472" s="1" t="s">
        <v>918</v>
      </c>
      <c r="Y472">
        <v>1</v>
      </c>
      <c r="Z472">
        <v>1</v>
      </c>
      <c r="AA472">
        <v>22</v>
      </c>
    </row>
    <row r="473" spans="1:27" x14ac:dyDescent="0.3">
      <c r="A473" s="1" t="s">
        <v>2063</v>
      </c>
      <c r="B473">
        <v>472</v>
      </c>
      <c r="C473" s="1" t="s">
        <v>2064</v>
      </c>
      <c r="D473" s="1" t="s">
        <v>2065</v>
      </c>
      <c r="E473" s="1" t="s">
        <v>32</v>
      </c>
      <c r="F473" s="1" t="s">
        <v>1045</v>
      </c>
      <c r="G473" s="1" t="s">
        <v>124</v>
      </c>
      <c r="H473" s="1" t="s">
        <v>48</v>
      </c>
      <c r="I473" s="1" t="s">
        <v>32</v>
      </c>
      <c r="J473" s="1" t="s">
        <v>74</v>
      </c>
      <c r="K473" s="1" t="s">
        <v>924</v>
      </c>
      <c r="L473">
        <v>1</v>
      </c>
      <c r="M473">
        <v>1</v>
      </c>
      <c r="N473">
        <v>0</v>
      </c>
      <c r="O473">
        <v>5</v>
      </c>
      <c r="P473">
        <v>2</v>
      </c>
      <c r="Q473">
        <v>0</v>
      </c>
      <c r="R473">
        <v>0</v>
      </c>
      <c r="S473">
        <v>1</v>
      </c>
      <c r="T473">
        <v>1</v>
      </c>
      <c r="U473" s="1" t="s">
        <v>925</v>
      </c>
      <c r="V473" s="1" t="s">
        <v>161</v>
      </c>
      <c r="W473" s="1">
        <f t="shared" si="7"/>
        <v>66.67</v>
      </c>
      <c r="X473" s="1">
        <v>1243</v>
      </c>
      <c r="Y473">
        <v>1</v>
      </c>
      <c r="Z473">
        <v>1</v>
      </c>
      <c r="AA473">
        <v>23</v>
      </c>
    </row>
    <row r="474" spans="1:27" x14ac:dyDescent="0.3">
      <c r="A474" s="1" t="s">
        <v>2066</v>
      </c>
      <c r="B474">
        <v>473</v>
      </c>
      <c r="C474" s="1" t="s">
        <v>2067</v>
      </c>
      <c r="D474" s="1" t="s">
        <v>2068</v>
      </c>
      <c r="E474" s="1" t="s">
        <v>29</v>
      </c>
      <c r="F474" s="1" t="s">
        <v>132</v>
      </c>
      <c r="G474" s="1" t="s">
        <v>953</v>
      </c>
      <c r="H474" s="1" t="s">
        <v>55</v>
      </c>
      <c r="I474" s="1" t="s">
        <v>32</v>
      </c>
      <c r="J474" s="1" t="s">
        <v>29</v>
      </c>
      <c r="K474" s="1" t="s">
        <v>2069</v>
      </c>
      <c r="L474">
        <v>2</v>
      </c>
      <c r="M474">
        <v>0</v>
      </c>
      <c r="N474">
        <v>0</v>
      </c>
      <c r="O474">
        <v>6</v>
      </c>
      <c r="P474">
        <v>2</v>
      </c>
      <c r="Q474">
        <v>0</v>
      </c>
      <c r="R474">
        <v>0</v>
      </c>
      <c r="S474">
        <v>1</v>
      </c>
      <c r="T474">
        <v>1</v>
      </c>
      <c r="U474" s="1" t="s">
        <v>2070</v>
      </c>
      <c r="V474" s="1" t="s">
        <v>385</v>
      </c>
      <c r="W474" s="1">
        <f t="shared" si="7"/>
        <v>251.43</v>
      </c>
      <c r="X474" s="1" t="s">
        <v>932</v>
      </c>
      <c r="Y474">
        <v>1</v>
      </c>
      <c r="Z474">
        <v>1</v>
      </c>
      <c r="AA474">
        <v>24</v>
      </c>
    </row>
    <row r="475" spans="1:27" x14ac:dyDescent="0.3">
      <c r="A475" s="1" t="s">
        <v>2071</v>
      </c>
      <c r="B475">
        <v>474</v>
      </c>
      <c r="C475" s="1" t="s">
        <v>2072</v>
      </c>
      <c r="D475" s="1" t="s">
        <v>1053</v>
      </c>
      <c r="E475" s="1" t="s">
        <v>39</v>
      </c>
      <c r="F475" s="1" t="s">
        <v>1053</v>
      </c>
      <c r="G475" s="1" t="s">
        <v>959</v>
      </c>
      <c r="H475" s="1" t="s">
        <v>63</v>
      </c>
      <c r="I475" s="1" t="s">
        <v>32</v>
      </c>
      <c r="J475" s="1" t="s">
        <v>75</v>
      </c>
      <c r="K475" s="1" t="s">
        <v>1600</v>
      </c>
      <c r="L475">
        <v>2</v>
      </c>
      <c r="M475">
        <v>2</v>
      </c>
      <c r="N475">
        <v>0</v>
      </c>
      <c r="O475">
        <v>1</v>
      </c>
      <c r="P475">
        <v>4</v>
      </c>
      <c r="Q475">
        <v>0</v>
      </c>
      <c r="R475">
        <v>0</v>
      </c>
      <c r="S475">
        <v>1</v>
      </c>
      <c r="T475">
        <v>1</v>
      </c>
      <c r="U475" s="1" t="s">
        <v>1600</v>
      </c>
      <c r="V475" s="1" t="s">
        <v>177</v>
      </c>
      <c r="W475" s="1">
        <f t="shared" si="7"/>
        <v>61.02</v>
      </c>
      <c r="X475" s="1" t="s">
        <v>1601</v>
      </c>
      <c r="Y475">
        <v>1</v>
      </c>
      <c r="Z475">
        <v>1</v>
      </c>
      <c r="AA475">
        <v>25</v>
      </c>
    </row>
    <row r="476" spans="1:27" x14ac:dyDescent="0.3">
      <c r="A476" s="1" t="s">
        <v>2073</v>
      </c>
      <c r="B476">
        <v>475</v>
      </c>
      <c r="C476" s="1" t="s">
        <v>2074</v>
      </c>
      <c r="D476" s="1" t="s">
        <v>2075</v>
      </c>
      <c r="E476" s="1" t="s">
        <v>41</v>
      </c>
      <c r="F476" s="1" t="s">
        <v>851</v>
      </c>
      <c r="G476" s="1" t="s">
        <v>149</v>
      </c>
      <c r="H476" s="1" t="s">
        <v>74</v>
      </c>
      <c r="I476" s="1" t="s">
        <v>32</v>
      </c>
      <c r="J476" s="1" t="s">
        <v>41</v>
      </c>
      <c r="K476" s="1" t="s">
        <v>2076</v>
      </c>
      <c r="L476">
        <v>2</v>
      </c>
      <c r="M476">
        <v>0</v>
      </c>
      <c r="N476">
        <v>0</v>
      </c>
      <c r="O476">
        <v>2</v>
      </c>
      <c r="P476">
        <v>2</v>
      </c>
      <c r="Q476">
        <v>0</v>
      </c>
      <c r="R476">
        <v>0</v>
      </c>
      <c r="S476">
        <v>1</v>
      </c>
      <c r="T476">
        <v>1</v>
      </c>
      <c r="U476" s="1" t="s">
        <v>2077</v>
      </c>
      <c r="V476" s="1" t="s">
        <v>398</v>
      </c>
      <c r="W476" s="1">
        <f t="shared" si="7"/>
        <v>255.95</v>
      </c>
      <c r="X476" s="1" t="s">
        <v>276</v>
      </c>
      <c r="Y476">
        <v>1</v>
      </c>
      <c r="Z476">
        <v>1</v>
      </c>
      <c r="AA476">
        <v>26</v>
      </c>
    </row>
    <row r="477" spans="1:27" x14ac:dyDescent="0.3">
      <c r="A477" s="1" t="s">
        <v>2078</v>
      </c>
      <c r="B477">
        <v>476</v>
      </c>
      <c r="C477" s="1" t="s">
        <v>2079</v>
      </c>
      <c r="D477" s="1" t="s">
        <v>971</v>
      </c>
      <c r="E477" s="1" t="s">
        <v>32</v>
      </c>
      <c r="F477" s="1" t="s">
        <v>158</v>
      </c>
      <c r="G477" s="1" t="s">
        <v>971</v>
      </c>
      <c r="H477" s="1" t="s">
        <v>29</v>
      </c>
      <c r="I477" s="1" t="s">
        <v>32</v>
      </c>
      <c r="J477" s="1" t="s">
        <v>32</v>
      </c>
      <c r="K477" s="1" t="s">
        <v>1559</v>
      </c>
      <c r="L477">
        <v>3</v>
      </c>
      <c r="M477">
        <v>1</v>
      </c>
      <c r="N477">
        <v>0</v>
      </c>
      <c r="O477">
        <v>3</v>
      </c>
      <c r="P477">
        <v>4</v>
      </c>
      <c r="Q477">
        <v>0</v>
      </c>
      <c r="R477">
        <v>0</v>
      </c>
      <c r="S477">
        <v>1</v>
      </c>
      <c r="T477">
        <v>1</v>
      </c>
      <c r="U477" s="1" t="s">
        <v>1560</v>
      </c>
      <c r="V477" s="1" t="s">
        <v>96</v>
      </c>
      <c r="W477" s="1">
        <f t="shared" si="7"/>
        <v>229.39</v>
      </c>
      <c r="X477" s="1" t="s">
        <v>1561</v>
      </c>
      <c r="Y477">
        <v>1</v>
      </c>
      <c r="Z477">
        <v>1</v>
      </c>
      <c r="AA477">
        <v>27</v>
      </c>
    </row>
    <row r="478" spans="1:27" x14ac:dyDescent="0.3">
      <c r="A478" s="1" t="s">
        <v>2080</v>
      </c>
      <c r="B478">
        <v>477</v>
      </c>
      <c r="C478" s="1" t="s">
        <v>2081</v>
      </c>
      <c r="D478" s="1" t="s">
        <v>2082</v>
      </c>
      <c r="E478" s="1" t="s">
        <v>29</v>
      </c>
      <c r="F478" s="1" t="s">
        <v>862</v>
      </c>
      <c r="G478" s="1" t="s">
        <v>164</v>
      </c>
      <c r="H478" s="1" t="s">
        <v>32</v>
      </c>
      <c r="I478" s="1" t="s">
        <v>32</v>
      </c>
      <c r="J478" s="1" t="s">
        <v>74</v>
      </c>
      <c r="K478" s="1" t="s">
        <v>1057</v>
      </c>
      <c r="L478">
        <v>3</v>
      </c>
      <c r="M478">
        <v>0</v>
      </c>
      <c r="N478">
        <v>0</v>
      </c>
      <c r="O478">
        <v>4</v>
      </c>
      <c r="P478">
        <v>3</v>
      </c>
      <c r="Q478">
        <v>0</v>
      </c>
      <c r="R478">
        <v>0</v>
      </c>
      <c r="S478">
        <v>1</v>
      </c>
      <c r="T478">
        <v>1</v>
      </c>
      <c r="U478" s="1" t="s">
        <v>1057</v>
      </c>
      <c r="V478" s="1" t="s">
        <v>104</v>
      </c>
      <c r="W478" s="1">
        <f t="shared" si="7"/>
        <v>76.84</v>
      </c>
      <c r="X478" s="1" t="s">
        <v>2083</v>
      </c>
      <c r="Y478">
        <v>1</v>
      </c>
      <c r="Z478">
        <v>1</v>
      </c>
      <c r="AA478">
        <v>28</v>
      </c>
    </row>
    <row r="479" spans="1:27" x14ac:dyDescent="0.3">
      <c r="A479" s="1" t="s">
        <v>2084</v>
      </c>
      <c r="B479">
        <v>478</v>
      </c>
      <c r="C479" s="1" t="s">
        <v>2085</v>
      </c>
      <c r="D479" s="1" t="s">
        <v>2086</v>
      </c>
      <c r="E479" s="1" t="s">
        <v>39</v>
      </c>
      <c r="F479" s="1" t="s">
        <v>868</v>
      </c>
      <c r="G479" s="1" t="s">
        <v>173</v>
      </c>
      <c r="H479" s="1" t="s">
        <v>41</v>
      </c>
      <c r="I479" s="1" t="s">
        <v>32</v>
      </c>
      <c r="J479" s="1" t="s">
        <v>29</v>
      </c>
      <c r="K479" s="1" t="s">
        <v>960</v>
      </c>
      <c r="L479">
        <v>3</v>
      </c>
      <c r="M479">
        <v>0</v>
      </c>
      <c r="N479">
        <v>0</v>
      </c>
      <c r="O479">
        <v>5</v>
      </c>
      <c r="P479">
        <v>3</v>
      </c>
      <c r="Q479">
        <v>0</v>
      </c>
      <c r="R479">
        <v>0</v>
      </c>
      <c r="S479">
        <v>1</v>
      </c>
      <c r="T479">
        <v>1</v>
      </c>
      <c r="U479" s="1" t="s">
        <v>961</v>
      </c>
      <c r="V479" s="1" t="s">
        <v>111</v>
      </c>
      <c r="W479" s="1">
        <f t="shared" si="7"/>
        <v>80.229999999999905</v>
      </c>
      <c r="X479" s="1">
        <v>1130</v>
      </c>
      <c r="Y479">
        <v>1</v>
      </c>
      <c r="Z479">
        <v>1</v>
      </c>
      <c r="AA479">
        <v>29</v>
      </c>
    </row>
    <row r="480" spans="1:27" x14ac:dyDescent="0.3">
      <c r="A480" s="1" t="s">
        <v>2087</v>
      </c>
      <c r="B480">
        <v>479</v>
      </c>
      <c r="C480" s="1" t="s">
        <v>2088</v>
      </c>
      <c r="D480" s="1" t="s">
        <v>1072</v>
      </c>
      <c r="E480" s="1" t="s">
        <v>41</v>
      </c>
      <c r="F480" s="1" t="s">
        <v>1072</v>
      </c>
      <c r="G480" s="1" t="s">
        <v>987</v>
      </c>
      <c r="H480" s="1" t="s">
        <v>48</v>
      </c>
      <c r="I480" s="1" t="s">
        <v>32</v>
      </c>
      <c r="J480" s="1" t="s">
        <v>75</v>
      </c>
      <c r="K480" s="1" t="s">
        <v>1575</v>
      </c>
      <c r="L480">
        <v>3</v>
      </c>
      <c r="M480">
        <v>0</v>
      </c>
      <c r="N480">
        <v>0</v>
      </c>
      <c r="O480">
        <v>6</v>
      </c>
      <c r="P480">
        <v>3</v>
      </c>
      <c r="Q480">
        <v>0</v>
      </c>
      <c r="R480">
        <v>0</v>
      </c>
      <c r="S480">
        <v>1</v>
      </c>
      <c r="T480">
        <v>1</v>
      </c>
      <c r="U480" s="1" t="s">
        <v>1576</v>
      </c>
      <c r="V480" s="1" t="s">
        <v>169</v>
      </c>
      <c r="W480" s="1">
        <f t="shared" si="7"/>
        <v>270.07</v>
      </c>
      <c r="X480" s="1" t="s">
        <v>895</v>
      </c>
      <c r="Y480">
        <v>1</v>
      </c>
      <c r="Z480">
        <v>1</v>
      </c>
      <c r="AA480">
        <v>30</v>
      </c>
    </row>
    <row r="481" spans="1:27" x14ac:dyDescent="0.3">
      <c r="A481" s="1" t="s">
        <v>2089</v>
      </c>
      <c r="B481">
        <v>480</v>
      </c>
      <c r="C481" s="1" t="s">
        <v>2090</v>
      </c>
      <c r="D481" s="1" t="s">
        <v>2091</v>
      </c>
      <c r="E481" s="1" t="s">
        <v>32</v>
      </c>
      <c r="F481" s="1" t="s">
        <v>189</v>
      </c>
      <c r="G481" s="1" t="s">
        <v>990</v>
      </c>
      <c r="H481" s="1" t="s">
        <v>55</v>
      </c>
      <c r="I481" s="1" t="s">
        <v>32</v>
      </c>
      <c r="J481" s="1" t="s">
        <v>41</v>
      </c>
      <c r="K481" s="1" t="s">
        <v>2092</v>
      </c>
      <c r="L481">
        <v>1</v>
      </c>
      <c r="M481">
        <v>2</v>
      </c>
      <c r="N481">
        <v>1</v>
      </c>
      <c r="O481">
        <v>1</v>
      </c>
      <c r="P481">
        <v>4</v>
      </c>
      <c r="Q481">
        <v>0</v>
      </c>
      <c r="R481">
        <v>0</v>
      </c>
      <c r="S481">
        <v>1</v>
      </c>
      <c r="T481">
        <v>1</v>
      </c>
      <c r="U481" s="1" t="s">
        <v>2092</v>
      </c>
      <c r="V481" s="1" t="s">
        <v>127</v>
      </c>
      <c r="W481" s="1">
        <f t="shared" si="7"/>
        <v>47.46</v>
      </c>
      <c r="X481" s="1" t="s">
        <v>2093</v>
      </c>
      <c r="Y481">
        <v>1</v>
      </c>
      <c r="Z481">
        <v>1</v>
      </c>
      <c r="AA481">
        <v>31</v>
      </c>
    </row>
    <row r="482" spans="1:27" x14ac:dyDescent="0.3">
      <c r="A482" s="1" t="s">
        <v>2094</v>
      </c>
      <c r="B482">
        <v>481</v>
      </c>
      <c r="C482" s="1" t="s">
        <v>2095</v>
      </c>
      <c r="D482" s="1" t="s">
        <v>2096</v>
      </c>
      <c r="E482" s="1" t="s">
        <v>29</v>
      </c>
      <c r="F482" s="1" t="s">
        <v>887</v>
      </c>
      <c r="G482" s="1" t="s">
        <v>31</v>
      </c>
      <c r="H482" s="1" t="s">
        <v>63</v>
      </c>
      <c r="I482" s="1" t="s">
        <v>33</v>
      </c>
      <c r="J482" s="1" t="s">
        <v>33</v>
      </c>
      <c r="K482" s="1" t="s">
        <v>34</v>
      </c>
      <c r="L482">
        <v>1</v>
      </c>
      <c r="M482">
        <v>0</v>
      </c>
      <c r="N482">
        <v>0</v>
      </c>
      <c r="O482">
        <v>2</v>
      </c>
      <c r="P482">
        <v>1</v>
      </c>
      <c r="Q482">
        <v>1</v>
      </c>
      <c r="R482">
        <v>0</v>
      </c>
      <c r="S482">
        <v>0</v>
      </c>
      <c r="T482">
        <v>0</v>
      </c>
      <c r="U482" s="1" t="s">
        <v>35</v>
      </c>
      <c r="V482" s="1">
        <v>0</v>
      </c>
      <c r="W482" s="1">
        <f t="shared" si="7"/>
        <v>0</v>
      </c>
      <c r="X482" s="1" t="s">
        <v>35</v>
      </c>
      <c r="Y482">
        <v>1</v>
      </c>
      <c r="Z482">
        <v>0</v>
      </c>
      <c r="AA482">
        <v>32</v>
      </c>
    </row>
    <row r="483" spans="1:27" x14ac:dyDescent="0.3">
      <c r="A483" s="1" t="s">
        <v>2097</v>
      </c>
      <c r="B483">
        <v>482</v>
      </c>
      <c r="C483" s="1" t="s">
        <v>2098</v>
      </c>
      <c r="D483" s="1" t="s">
        <v>2099</v>
      </c>
      <c r="E483" s="1" t="s">
        <v>39</v>
      </c>
      <c r="F483" s="1" t="s">
        <v>1081</v>
      </c>
      <c r="G483" s="1" t="s">
        <v>40</v>
      </c>
      <c r="H483" s="1" t="s">
        <v>74</v>
      </c>
      <c r="I483" s="1" t="s">
        <v>33</v>
      </c>
      <c r="J483" s="1" t="s">
        <v>33</v>
      </c>
      <c r="K483" s="1" t="s">
        <v>34</v>
      </c>
      <c r="L483">
        <v>1</v>
      </c>
      <c r="M483">
        <v>0</v>
      </c>
      <c r="N483">
        <v>0</v>
      </c>
      <c r="O483">
        <v>3</v>
      </c>
      <c r="P483">
        <v>1</v>
      </c>
      <c r="Q483">
        <v>1</v>
      </c>
      <c r="R483">
        <v>0</v>
      </c>
      <c r="S483">
        <v>0</v>
      </c>
      <c r="T483">
        <v>0</v>
      </c>
      <c r="U483" s="1" t="s">
        <v>42</v>
      </c>
      <c r="V483" s="1">
        <v>0</v>
      </c>
      <c r="W483" s="1">
        <f t="shared" si="7"/>
        <v>0</v>
      </c>
      <c r="X483" s="1" t="s">
        <v>42</v>
      </c>
      <c r="Y483">
        <v>1</v>
      </c>
      <c r="Z483">
        <v>0</v>
      </c>
      <c r="AA483">
        <v>33</v>
      </c>
    </row>
    <row r="484" spans="1:27" x14ac:dyDescent="0.3">
      <c r="A484" s="1" t="s">
        <v>2100</v>
      </c>
      <c r="B484">
        <v>483</v>
      </c>
      <c r="C484" s="1" t="s">
        <v>2101</v>
      </c>
      <c r="D484" s="1" t="s">
        <v>1085</v>
      </c>
      <c r="E484" s="1" t="s">
        <v>41</v>
      </c>
      <c r="F484" s="1" t="s">
        <v>1085</v>
      </c>
      <c r="G484" s="1" t="s">
        <v>47</v>
      </c>
      <c r="H484" s="1" t="s">
        <v>29</v>
      </c>
      <c r="I484" s="1" t="s">
        <v>33</v>
      </c>
      <c r="J484" s="1" t="s">
        <v>33</v>
      </c>
      <c r="K484" s="1" t="s">
        <v>34</v>
      </c>
      <c r="L484">
        <v>2</v>
      </c>
      <c r="M484">
        <v>0</v>
      </c>
      <c r="N484">
        <v>0</v>
      </c>
      <c r="O484">
        <v>4</v>
      </c>
      <c r="P484">
        <v>2</v>
      </c>
      <c r="Q484">
        <v>1</v>
      </c>
      <c r="R484">
        <v>0</v>
      </c>
      <c r="S484">
        <v>0</v>
      </c>
      <c r="T484">
        <v>0</v>
      </c>
      <c r="U484" s="1" t="s">
        <v>49</v>
      </c>
      <c r="V484" s="1">
        <v>0</v>
      </c>
      <c r="W484" s="1">
        <f t="shared" si="7"/>
        <v>0</v>
      </c>
      <c r="X484" s="1" t="s">
        <v>49</v>
      </c>
      <c r="Y484">
        <v>1</v>
      </c>
      <c r="Z484">
        <v>0</v>
      </c>
      <c r="AA484">
        <v>34</v>
      </c>
    </row>
    <row r="485" spans="1:27" x14ac:dyDescent="0.3">
      <c r="A485" s="1" t="s">
        <v>2102</v>
      </c>
      <c r="B485">
        <v>484</v>
      </c>
      <c r="C485" s="1" t="s">
        <v>2103</v>
      </c>
      <c r="D485" s="1" t="s">
        <v>1089</v>
      </c>
      <c r="E485" s="1" t="s">
        <v>32</v>
      </c>
      <c r="F485" s="1" t="s">
        <v>1089</v>
      </c>
      <c r="G485" s="1" t="s">
        <v>54</v>
      </c>
      <c r="H485" s="1" t="s">
        <v>32</v>
      </c>
      <c r="I485" s="1" t="s">
        <v>56</v>
      </c>
      <c r="J485" s="1" t="s">
        <v>33</v>
      </c>
      <c r="K485" s="1" t="s">
        <v>34</v>
      </c>
      <c r="L485">
        <v>2</v>
      </c>
      <c r="M485">
        <v>1</v>
      </c>
      <c r="N485">
        <v>0</v>
      </c>
      <c r="O485">
        <v>5</v>
      </c>
      <c r="P485">
        <v>3</v>
      </c>
      <c r="Q485">
        <v>0</v>
      </c>
      <c r="R485">
        <v>1</v>
      </c>
      <c r="S485">
        <v>0</v>
      </c>
      <c r="T485">
        <v>0</v>
      </c>
      <c r="U485" s="1" t="s">
        <v>57</v>
      </c>
      <c r="V485" s="1">
        <v>0</v>
      </c>
      <c r="W485" s="1">
        <f t="shared" si="7"/>
        <v>0</v>
      </c>
      <c r="X485" s="1" t="s">
        <v>57</v>
      </c>
      <c r="Y485">
        <v>1</v>
      </c>
      <c r="Z485">
        <v>0</v>
      </c>
      <c r="AA485">
        <v>35</v>
      </c>
    </row>
    <row r="486" spans="1:27" x14ac:dyDescent="0.3">
      <c r="A486" s="1" t="s">
        <v>2104</v>
      </c>
      <c r="B486">
        <v>485</v>
      </c>
      <c r="C486" s="1" t="s">
        <v>2105</v>
      </c>
      <c r="D486" s="1" t="s">
        <v>2106</v>
      </c>
      <c r="E486" s="1" t="s">
        <v>29</v>
      </c>
      <c r="F486" s="1" t="s">
        <v>1011</v>
      </c>
      <c r="G486" s="1" t="s">
        <v>62</v>
      </c>
      <c r="H486" s="1" t="s">
        <v>41</v>
      </c>
      <c r="I486" s="1" t="s">
        <v>64</v>
      </c>
      <c r="J486" s="1" t="s">
        <v>74</v>
      </c>
      <c r="K486" s="1" t="s">
        <v>65</v>
      </c>
      <c r="L486">
        <v>2</v>
      </c>
      <c r="M486">
        <v>0</v>
      </c>
      <c r="N486">
        <v>0</v>
      </c>
      <c r="O486">
        <v>6</v>
      </c>
      <c r="P486">
        <v>2</v>
      </c>
      <c r="Q486">
        <v>0</v>
      </c>
      <c r="R486">
        <v>0</v>
      </c>
      <c r="S486">
        <v>0</v>
      </c>
      <c r="T486">
        <v>0</v>
      </c>
      <c r="U486" s="1" t="s">
        <v>66</v>
      </c>
      <c r="V486" s="1" t="s">
        <v>67</v>
      </c>
      <c r="W486" s="1">
        <f t="shared" si="7"/>
        <v>22.6</v>
      </c>
      <c r="X486" s="1" t="s">
        <v>68</v>
      </c>
      <c r="Y486">
        <v>1</v>
      </c>
      <c r="Z486">
        <v>0</v>
      </c>
      <c r="AA486">
        <v>36</v>
      </c>
    </row>
    <row r="487" spans="1:27" x14ac:dyDescent="0.3">
      <c r="A487" s="1" t="s">
        <v>2107</v>
      </c>
      <c r="B487">
        <v>486</v>
      </c>
      <c r="C487" s="1" t="s">
        <v>2108</v>
      </c>
      <c r="D487" s="1" t="s">
        <v>2109</v>
      </c>
      <c r="E487" s="1" t="s">
        <v>39</v>
      </c>
      <c r="F487" s="1" t="s">
        <v>223</v>
      </c>
      <c r="G487" s="1" t="s">
        <v>73</v>
      </c>
      <c r="H487" s="1" t="s">
        <v>48</v>
      </c>
      <c r="I487" s="1" t="s">
        <v>64</v>
      </c>
      <c r="J487" s="1" t="s">
        <v>29</v>
      </c>
      <c r="K487" s="1" t="s">
        <v>2110</v>
      </c>
      <c r="L487">
        <v>3</v>
      </c>
      <c r="M487">
        <v>2</v>
      </c>
      <c r="N487">
        <v>0</v>
      </c>
      <c r="O487">
        <v>1</v>
      </c>
      <c r="P487">
        <v>5</v>
      </c>
      <c r="Q487">
        <v>0</v>
      </c>
      <c r="R487">
        <v>0</v>
      </c>
      <c r="S487">
        <v>0</v>
      </c>
      <c r="T487">
        <v>0</v>
      </c>
      <c r="U487" s="1" t="s">
        <v>176</v>
      </c>
      <c r="V487" s="1" t="s">
        <v>177</v>
      </c>
      <c r="W487" s="1">
        <f t="shared" si="7"/>
        <v>61.02</v>
      </c>
      <c r="X487" s="1" t="s">
        <v>178</v>
      </c>
      <c r="Y487">
        <v>1</v>
      </c>
      <c r="Z487">
        <v>0</v>
      </c>
      <c r="AA487">
        <v>37</v>
      </c>
    </row>
    <row r="488" spans="1:27" x14ac:dyDescent="0.3">
      <c r="A488" s="1" t="s">
        <v>2111</v>
      </c>
      <c r="B488">
        <v>487</v>
      </c>
      <c r="C488" s="1" t="s">
        <v>2112</v>
      </c>
      <c r="D488" s="1" t="s">
        <v>84</v>
      </c>
      <c r="E488" s="1" t="s">
        <v>41</v>
      </c>
      <c r="F488" s="1" t="s">
        <v>84</v>
      </c>
      <c r="G488" s="1" t="s">
        <v>84</v>
      </c>
      <c r="H488" s="1" t="s">
        <v>55</v>
      </c>
      <c r="I488" s="1" t="s">
        <v>32</v>
      </c>
      <c r="J488" s="1" t="s">
        <v>29</v>
      </c>
      <c r="K488" s="1" t="s">
        <v>85</v>
      </c>
      <c r="L488">
        <v>3</v>
      </c>
      <c r="M488">
        <v>0</v>
      </c>
      <c r="N488">
        <v>0</v>
      </c>
      <c r="O488">
        <v>2</v>
      </c>
      <c r="P488">
        <v>3</v>
      </c>
      <c r="Q488">
        <v>0</v>
      </c>
      <c r="R488">
        <v>0</v>
      </c>
      <c r="S488">
        <v>1</v>
      </c>
      <c r="T488">
        <v>1</v>
      </c>
      <c r="U488" s="1" t="s">
        <v>86</v>
      </c>
      <c r="V488" s="1" t="s">
        <v>87</v>
      </c>
      <c r="W488" s="1">
        <f t="shared" si="7"/>
        <v>274.58999999999997</v>
      </c>
      <c r="X488" s="1" t="s">
        <v>88</v>
      </c>
      <c r="Y488">
        <v>1</v>
      </c>
      <c r="Z488">
        <v>1</v>
      </c>
      <c r="AA488">
        <v>38</v>
      </c>
    </row>
    <row r="489" spans="1:27" x14ac:dyDescent="0.3">
      <c r="A489" s="1" t="s">
        <v>2113</v>
      </c>
      <c r="B489">
        <v>488</v>
      </c>
      <c r="C489" s="1" t="s">
        <v>2114</v>
      </c>
      <c r="D489" s="1" t="s">
        <v>93</v>
      </c>
      <c r="E489" s="1" t="s">
        <v>32</v>
      </c>
      <c r="F489" s="1" t="s">
        <v>93</v>
      </c>
      <c r="G489" s="1" t="s">
        <v>93</v>
      </c>
      <c r="H489" s="1" t="s">
        <v>63</v>
      </c>
      <c r="I489" s="1" t="s">
        <v>32</v>
      </c>
      <c r="J489" s="1" t="s">
        <v>75</v>
      </c>
      <c r="K489" s="1" t="s">
        <v>2115</v>
      </c>
      <c r="L489">
        <v>3</v>
      </c>
      <c r="M489">
        <v>1</v>
      </c>
      <c r="N489">
        <v>0</v>
      </c>
      <c r="O489">
        <v>3</v>
      </c>
      <c r="P489">
        <v>4</v>
      </c>
      <c r="Q489">
        <v>0</v>
      </c>
      <c r="R489">
        <v>0</v>
      </c>
      <c r="S489">
        <v>1</v>
      </c>
      <c r="T489">
        <v>1</v>
      </c>
      <c r="U489" s="1" t="s">
        <v>2116</v>
      </c>
      <c r="V489" s="1" t="s">
        <v>475</v>
      </c>
      <c r="W489" s="1">
        <f t="shared" si="7"/>
        <v>221.71</v>
      </c>
      <c r="X489" s="1" t="s">
        <v>97</v>
      </c>
      <c r="Y489">
        <v>1</v>
      </c>
      <c r="Z489">
        <v>1</v>
      </c>
      <c r="AA489">
        <v>39</v>
      </c>
    </row>
    <row r="490" spans="1:27" x14ac:dyDescent="0.3">
      <c r="A490" s="1" t="s">
        <v>2117</v>
      </c>
      <c r="B490">
        <v>489</v>
      </c>
      <c r="C490" s="1" t="s">
        <v>2118</v>
      </c>
      <c r="D490" s="1" t="s">
        <v>2119</v>
      </c>
      <c r="E490" s="1" t="s">
        <v>29</v>
      </c>
      <c r="F490" s="1" t="s">
        <v>242</v>
      </c>
      <c r="G490" s="1" t="s">
        <v>102</v>
      </c>
      <c r="H490" s="1" t="s">
        <v>74</v>
      </c>
      <c r="I490" s="1" t="s">
        <v>32</v>
      </c>
      <c r="J490" s="1" t="s">
        <v>41</v>
      </c>
      <c r="K490" s="1" t="s">
        <v>2120</v>
      </c>
      <c r="L490">
        <v>3</v>
      </c>
      <c r="M490">
        <v>0</v>
      </c>
      <c r="N490">
        <v>0</v>
      </c>
      <c r="O490">
        <v>4</v>
      </c>
      <c r="P490">
        <v>3</v>
      </c>
      <c r="Q490">
        <v>0</v>
      </c>
      <c r="R490">
        <v>0</v>
      </c>
      <c r="S490">
        <v>1</v>
      </c>
      <c r="T490">
        <v>1</v>
      </c>
      <c r="U490" s="1" t="s">
        <v>2120</v>
      </c>
      <c r="V490" s="1" t="s">
        <v>482</v>
      </c>
      <c r="W490" s="1">
        <f t="shared" si="7"/>
        <v>69.16</v>
      </c>
      <c r="X490" s="1" t="s">
        <v>264</v>
      </c>
      <c r="Y490">
        <v>1</v>
      </c>
      <c r="Z490">
        <v>1</v>
      </c>
      <c r="AA490">
        <v>40</v>
      </c>
    </row>
    <row r="491" spans="1:27" x14ac:dyDescent="0.3">
      <c r="A491" s="1" t="s">
        <v>2121</v>
      </c>
      <c r="B491">
        <v>490</v>
      </c>
      <c r="C491" s="1" t="s">
        <v>2122</v>
      </c>
      <c r="D491" s="1" t="s">
        <v>1111</v>
      </c>
      <c r="E491" s="1" t="s">
        <v>39</v>
      </c>
      <c r="F491" s="1" t="s">
        <v>1111</v>
      </c>
      <c r="G491" s="1" t="s">
        <v>108</v>
      </c>
      <c r="H491" s="1" t="s">
        <v>29</v>
      </c>
      <c r="I491" s="1" t="s">
        <v>32</v>
      </c>
      <c r="J491" s="1" t="s">
        <v>32</v>
      </c>
      <c r="K491" s="1" t="s">
        <v>109</v>
      </c>
      <c r="L491">
        <v>1</v>
      </c>
      <c r="M491">
        <v>0</v>
      </c>
      <c r="N491">
        <v>0</v>
      </c>
      <c r="O491">
        <v>5</v>
      </c>
      <c r="P491">
        <v>1</v>
      </c>
      <c r="Q491">
        <v>0</v>
      </c>
      <c r="R491">
        <v>0</v>
      </c>
      <c r="S491">
        <v>1</v>
      </c>
      <c r="T491">
        <v>1</v>
      </c>
      <c r="U491" s="1" t="s">
        <v>110</v>
      </c>
      <c r="V491" s="1" t="s">
        <v>111</v>
      </c>
      <c r="W491" s="1">
        <f t="shared" si="7"/>
        <v>80.229999999999905</v>
      </c>
      <c r="X491" s="1" t="s">
        <v>112</v>
      </c>
      <c r="Y491">
        <v>1</v>
      </c>
      <c r="Z491">
        <v>1</v>
      </c>
      <c r="AA491">
        <v>41</v>
      </c>
    </row>
    <row r="492" spans="1:27" x14ac:dyDescent="0.3">
      <c r="A492" s="1" t="s">
        <v>2123</v>
      </c>
      <c r="B492">
        <v>491</v>
      </c>
      <c r="C492" s="1" t="s">
        <v>2124</v>
      </c>
      <c r="D492" s="1" t="s">
        <v>2125</v>
      </c>
      <c r="E492" s="1" t="s">
        <v>41</v>
      </c>
      <c r="F492" s="1" t="s">
        <v>941</v>
      </c>
      <c r="G492" s="1" t="s">
        <v>117</v>
      </c>
      <c r="H492" s="1" t="s">
        <v>32</v>
      </c>
      <c r="I492" s="1" t="s">
        <v>32</v>
      </c>
      <c r="J492" s="1" t="s">
        <v>74</v>
      </c>
      <c r="K492" s="1" t="s">
        <v>1114</v>
      </c>
      <c r="L492">
        <v>1</v>
      </c>
      <c r="M492">
        <v>0</v>
      </c>
      <c r="N492">
        <v>0</v>
      </c>
      <c r="O492">
        <v>6</v>
      </c>
      <c r="P492">
        <v>1</v>
      </c>
      <c r="Q492">
        <v>0</v>
      </c>
      <c r="R492">
        <v>0</v>
      </c>
      <c r="S492">
        <v>1</v>
      </c>
      <c r="T492">
        <v>1</v>
      </c>
      <c r="U492" s="1" t="s">
        <v>1115</v>
      </c>
      <c r="V492" s="1" t="s">
        <v>169</v>
      </c>
      <c r="W492" s="1">
        <f t="shared" si="7"/>
        <v>270.07</v>
      </c>
      <c r="X492" s="1" t="s">
        <v>1116</v>
      </c>
      <c r="Y492">
        <v>1</v>
      </c>
      <c r="Z492">
        <v>1</v>
      </c>
      <c r="AA492">
        <v>42</v>
      </c>
    </row>
    <row r="493" spans="1:27" x14ac:dyDescent="0.3">
      <c r="A493" s="1" t="s">
        <v>2126</v>
      </c>
      <c r="B493">
        <v>492</v>
      </c>
      <c r="C493" s="1" t="s">
        <v>2127</v>
      </c>
      <c r="D493" s="1" t="s">
        <v>1120</v>
      </c>
      <c r="E493" s="1" t="s">
        <v>32</v>
      </c>
      <c r="F493" s="1" t="s">
        <v>1120</v>
      </c>
      <c r="G493" s="1" t="s">
        <v>32</v>
      </c>
      <c r="H493" s="1" t="s">
        <v>41</v>
      </c>
      <c r="I493" s="1" t="s">
        <v>32</v>
      </c>
      <c r="J493" s="1" t="s">
        <v>29</v>
      </c>
      <c r="K493" s="1" t="s">
        <v>126</v>
      </c>
      <c r="L493">
        <v>1</v>
      </c>
      <c r="M493">
        <v>2</v>
      </c>
      <c r="N493">
        <v>1</v>
      </c>
      <c r="O493">
        <v>1</v>
      </c>
      <c r="P493">
        <v>4</v>
      </c>
      <c r="Q493">
        <v>0</v>
      </c>
      <c r="R493">
        <v>0</v>
      </c>
      <c r="S493">
        <v>1</v>
      </c>
      <c r="T493">
        <v>1</v>
      </c>
      <c r="U493" s="1" t="s">
        <v>126</v>
      </c>
      <c r="V493" s="1" t="s">
        <v>127</v>
      </c>
      <c r="W493" s="1">
        <f t="shared" si="7"/>
        <v>47.46</v>
      </c>
      <c r="X493" s="1" t="s">
        <v>128</v>
      </c>
      <c r="Y493">
        <v>1</v>
      </c>
      <c r="Z493">
        <v>1</v>
      </c>
      <c r="AA493">
        <v>43</v>
      </c>
    </row>
    <row r="494" spans="1:27" x14ac:dyDescent="0.3">
      <c r="A494" s="1" t="s">
        <v>2128</v>
      </c>
      <c r="B494">
        <v>493</v>
      </c>
      <c r="C494" s="1" t="s">
        <v>2129</v>
      </c>
      <c r="D494" s="1" t="s">
        <v>2130</v>
      </c>
      <c r="E494" s="1" t="s">
        <v>29</v>
      </c>
      <c r="F494" s="1" t="s">
        <v>1124</v>
      </c>
      <c r="G494" s="1" t="s">
        <v>132</v>
      </c>
      <c r="H494" s="1" t="s">
        <v>48</v>
      </c>
      <c r="I494" s="1" t="s">
        <v>32</v>
      </c>
      <c r="J494" s="1" t="s">
        <v>75</v>
      </c>
      <c r="K494" s="1" t="s">
        <v>286</v>
      </c>
      <c r="L494">
        <v>2</v>
      </c>
      <c r="M494">
        <v>0</v>
      </c>
      <c r="N494">
        <v>0</v>
      </c>
      <c r="O494">
        <v>2</v>
      </c>
      <c r="P494">
        <v>2</v>
      </c>
      <c r="Q494">
        <v>0</v>
      </c>
      <c r="R494">
        <v>0</v>
      </c>
      <c r="S494">
        <v>1</v>
      </c>
      <c r="T494">
        <v>1</v>
      </c>
      <c r="U494" s="1" t="s">
        <v>287</v>
      </c>
      <c r="V494" s="1" t="s">
        <v>288</v>
      </c>
      <c r="W494" s="1">
        <f t="shared" si="7"/>
        <v>301.70999999999998</v>
      </c>
      <c r="X494" s="1" t="s">
        <v>289</v>
      </c>
      <c r="Y494">
        <v>1</v>
      </c>
      <c r="Z494">
        <v>1</v>
      </c>
      <c r="AA494">
        <v>44</v>
      </c>
    </row>
    <row r="495" spans="1:27" x14ac:dyDescent="0.3">
      <c r="A495" s="1" t="s">
        <v>2131</v>
      </c>
      <c r="B495">
        <v>494</v>
      </c>
      <c r="C495" s="1" t="s">
        <v>2132</v>
      </c>
      <c r="D495" s="1" t="s">
        <v>2133</v>
      </c>
      <c r="E495" s="1" t="s">
        <v>39</v>
      </c>
      <c r="F495" s="1" t="s">
        <v>959</v>
      </c>
      <c r="G495" s="1" t="s">
        <v>141</v>
      </c>
      <c r="H495" s="1" t="s">
        <v>55</v>
      </c>
      <c r="I495" s="1" t="s">
        <v>32</v>
      </c>
      <c r="J495" s="1" t="s">
        <v>41</v>
      </c>
      <c r="K495" s="1" t="s">
        <v>2134</v>
      </c>
      <c r="L495">
        <v>2</v>
      </c>
      <c r="M495">
        <v>0</v>
      </c>
      <c r="N495">
        <v>0</v>
      </c>
      <c r="O495">
        <v>3</v>
      </c>
      <c r="P495">
        <v>2</v>
      </c>
      <c r="Q495">
        <v>0</v>
      </c>
      <c r="R495">
        <v>0</v>
      </c>
      <c r="S495">
        <v>1</v>
      </c>
      <c r="T495">
        <v>1</v>
      </c>
      <c r="U495" s="1" t="s">
        <v>2135</v>
      </c>
      <c r="V495" s="1" t="s">
        <v>509</v>
      </c>
      <c r="W495" s="1">
        <f t="shared" si="7"/>
        <v>197.85999999999899</v>
      </c>
      <c r="X495" s="1" t="s">
        <v>42</v>
      </c>
      <c r="Y495">
        <v>1</v>
      </c>
      <c r="Z495">
        <v>1</v>
      </c>
      <c r="AA495">
        <v>45</v>
      </c>
    </row>
    <row r="496" spans="1:27" x14ac:dyDescent="0.3">
      <c r="A496" s="1" t="s">
        <v>2136</v>
      </c>
      <c r="B496">
        <v>495</v>
      </c>
      <c r="C496" s="1" t="s">
        <v>2137</v>
      </c>
      <c r="D496" s="1" t="s">
        <v>1131</v>
      </c>
      <c r="E496" s="1" t="s">
        <v>41</v>
      </c>
      <c r="F496" s="1" t="s">
        <v>1131</v>
      </c>
      <c r="G496" s="1" t="s">
        <v>150</v>
      </c>
      <c r="H496" s="1" t="s">
        <v>63</v>
      </c>
      <c r="I496" s="1" t="s">
        <v>32</v>
      </c>
      <c r="J496" s="1" t="s">
        <v>32</v>
      </c>
      <c r="K496" s="1" t="s">
        <v>151</v>
      </c>
      <c r="L496">
        <v>2</v>
      </c>
      <c r="M496">
        <v>0</v>
      </c>
      <c r="N496">
        <v>0</v>
      </c>
      <c r="O496">
        <v>4</v>
      </c>
      <c r="P496">
        <v>2</v>
      </c>
      <c r="Q496">
        <v>0</v>
      </c>
      <c r="R496">
        <v>0</v>
      </c>
      <c r="S496">
        <v>1</v>
      </c>
      <c r="T496">
        <v>1</v>
      </c>
      <c r="U496" s="1" t="s">
        <v>151</v>
      </c>
      <c r="V496" s="1" t="s">
        <v>152</v>
      </c>
      <c r="W496" s="1">
        <f t="shared" si="7"/>
        <v>63.28</v>
      </c>
      <c r="X496" s="1" t="s">
        <v>153</v>
      </c>
      <c r="Y496">
        <v>1</v>
      </c>
      <c r="Z496">
        <v>1</v>
      </c>
      <c r="AA496">
        <v>46</v>
      </c>
    </row>
    <row r="497" spans="1:27" x14ac:dyDescent="0.3">
      <c r="A497" s="1" t="s">
        <v>2138</v>
      </c>
      <c r="B497">
        <v>496</v>
      </c>
      <c r="C497" s="1" t="s">
        <v>2139</v>
      </c>
      <c r="D497" s="1" t="s">
        <v>1137</v>
      </c>
      <c r="E497" s="1" t="s">
        <v>32</v>
      </c>
      <c r="F497" s="1" t="s">
        <v>1137</v>
      </c>
      <c r="G497" s="1" t="s">
        <v>158</v>
      </c>
      <c r="H497" s="1" t="s">
        <v>74</v>
      </c>
      <c r="I497" s="1" t="s">
        <v>32</v>
      </c>
      <c r="J497" s="1" t="s">
        <v>74</v>
      </c>
      <c r="K497" s="1" t="s">
        <v>1630</v>
      </c>
      <c r="L497">
        <v>3</v>
      </c>
      <c r="M497">
        <v>1</v>
      </c>
      <c r="N497">
        <v>0</v>
      </c>
      <c r="O497">
        <v>5</v>
      </c>
      <c r="P497">
        <v>4</v>
      </c>
      <c r="Q497">
        <v>0</v>
      </c>
      <c r="R497">
        <v>0</v>
      </c>
      <c r="S497">
        <v>1</v>
      </c>
      <c r="T497">
        <v>1</v>
      </c>
      <c r="U497" s="1" t="s">
        <v>1631</v>
      </c>
      <c r="V497" s="1" t="s">
        <v>520</v>
      </c>
      <c r="W497" s="1">
        <f t="shared" si="7"/>
        <v>62.26</v>
      </c>
      <c r="X497" s="1" t="s">
        <v>57</v>
      </c>
      <c r="Y497">
        <v>1</v>
      </c>
      <c r="Z497">
        <v>1</v>
      </c>
      <c r="AA497">
        <v>47</v>
      </c>
    </row>
    <row r="498" spans="1:27" x14ac:dyDescent="0.3">
      <c r="A498" s="1" t="s">
        <v>2140</v>
      </c>
      <c r="B498">
        <v>497</v>
      </c>
      <c r="C498" s="1" t="s">
        <v>2141</v>
      </c>
      <c r="D498" s="1" t="s">
        <v>1141</v>
      </c>
      <c r="E498" s="1" t="s">
        <v>29</v>
      </c>
      <c r="F498" s="1" t="s">
        <v>1141</v>
      </c>
      <c r="G498" s="1" t="s">
        <v>166</v>
      </c>
      <c r="H498" s="1" t="s">
        <v>29</v>
      </c>
      <c r="I498" s="1" t="s">
        <v>32</v>
      </c>
      <c r="J498" s="1" t="s">
        <v>29</v>
      </c>
      <c r="K498" s="1" t="s">
        <v>167</v>
      </c>
      <c r="L498">
        <v>3</v>
      </c>
      <c r="M498">
        <v>0</v>
      </c>
      <c r="N498">
        <v>0</v>
      </c>
      <c r="O498">
        <v>6</v>
      </c>
      <c r="P498">
        <v>3</v>
      </c>
      <c r="Q498">
        <v>0</v>
      </c>
      <c r="R498">
        <v>0</v>
      </c>
      <c r="S498">
        <v>1</v>
      </c>
      <c r="T498">
        <v>1</v>
      </c>
      <c r="U498" s="1" t="s">
        <v>168</v>
      </c>
      <c r="V498" s="1" t="s">
        <v>169</v>
      </c>
      <c r="W498" s="1">
        <f t="shared" si="7"/>
        <v>270.07</v>
      </c>
      <c r="X498" s="1" t="s">
        <v>170</v>
      </c>
      <c r="Y498">
        <v>1</v>
      </c>
      <c r="Z498">
        <v>1</v>
      </c>
      <c r="AA498">
        <v>48</v>
      </c>
    </row>
    <row r="499" spans="1:27" x14ac:dyDescent="0.3">
      <c r="A499" s="1" t="s">
        <v>2142</v>
      </c>
      <c r="B499">
        <v>498</v>
      </c>
      <c r="C499" s="1" t="s">
        <v>2143</v>
      </c>
      <c r="D499" s="1" t="s">
        <v>1145</v>
      </c>
      <c r="E499" s="1" t="s">
        <v>39</v>
      </c>
      <c r="F499" s="1" t="s">
        <v>1145</v>
      </c>
      <c r="G499" s="1" t="s">
        <v>175</v>
      </c>
      <c r="H499" s="1" t="s">
        <v>32</v>
      </c>
      <c r="I499" s="1" t="s">
        <v>32</v>
      </c>
      <c r="J499" s="1" t="s">
        <v>75</v>
      </c>
      <c r="K499" s="1" t="s">
        <v>1096</v>
      </c>
      <c r="L499">
        <v>3</v>
      </c>
      <c r="M499">
        <v>2</v>
      </c>
      <c r="N499">
        <v>0</v>
      </c>
      <c r="O499">
        <v>1</v>
      </c>
      <c r="P499">
        <v>5</v>
      </c>
      <c r="Q499">
        <v>0</v>
      </c>
      <c r="R499">
        <v>0</v>
      </c>
      <c r="S499">
        <v>1</v>
      </c>
      <c r="T499">
        <v>1</v>
      </c>
      <c r="U499" s="1" t="s">
        <v>1096</v>
      </c>
      <c r="V499" s="1" t="s">
        <v>177</v>
      </c>
      <c r="W499" s="1">
        <f t="shared" si="7"/>
        <v>61.02</v>
      </c>
      <c r="X499" s="1" t="s">
        <v>1097</v>
      </c>
      <c r="Y499">
        <v>1</v>
      </c>
      <c r="Z499">
        <v>1</v>
      </c>
      <c r="AA499">
        <v>49</v>
      </c>
    </row>
    <row r="500" spans="1:27" x14ac:dyDescent="0.3">
      <c r="A500" s="1" t="s">
        <v>2144</v>
      </c>
      <c r="B500">
        <v>499</v>
      </c>
      <c r="C500" s="1" t="s">
        <v>2145</v>
      </c>
      <c r="D500" s="1" t="s">
        <v>2146</v>
      </c>
      <c r="E500" s="1" t="s">
        <v>41</v>
      </c>
      <c r="F500" s="1" t="s">
        <v>987</v>
      </c>
      <c r="G500" s="1" t="s">
        <v>181</v>
      </c>
      <c r="H500" s="1" t="s">
        <v>41</v>
      </c>
      <c r="I500" s="1" t="s">
        <v>32</v>
      </c>
      <c r="J500" s="1" t="s">
        <v>41</v>
      </c>
      <c r="K500" s="1" t="s">
        <v>85</v>
      </c>
      <c r="L500">
        <v>3</v>
      </c>
      <c r="M500">
        <v>0</v>
      </c>
      <c r="N500">
        <v>0</v>
      </c>
      <c r="O500">
        <v>2</v>
      </c>
      <c r="P500">
        <v>3</v>
      </c>
      <c r="Q500">
        <v>0</v>
      </c>
      <c r="R500">
        <v>0</v>
      </c>
      <c r="S500">
        <v>1</v>
      </c>
      <c r="T500">
        <v>1</v>
      </c>
      <c r="U500" s="1" t="s">
        <v>86</v>
      </c>
      <c r="V500" s="1" t="s">
        <v>87</v>
      </c>
      <c r="W500" s="1">
        <f t="shared" si="7"/>
        <v>274.58999999999997</v>
      </c>
      <c r="X500" s="1" t="s">
        <v>88</v>
      </c>
      <c r="Y500">
        <v>1</v>
      </c>
      <c r="Z500">
        <v>1</v>
      </c>
      <c r="AA500">
        <v>50</v>
      </c>
    </row>
    <row r="501" spans="1:27" x14ac:dyDescent="0.3">
      <c r="A501" s="1" t="s">
        <v>2147</v>
      </c>
      <c r="B501">
        <v>500</v>
      </c>
      <c r="C501" s="1" t="s">
        <v>2148</v>
      </c>
      <c r="D501" s="1" t="s">
        <v>2149</v>
      </c>
      <c r="E501" s="1" t="s">
        <v>32</v>
      </c>
      <c r="F501" s="1" t="s">
        <v>1152</v>
      </c>
      <c r="G501" s="1" t="s">
        <v>189</v>
      </c>
      <c r="H501" s="1" t="s">
        <v>48</v>
      </c>
      <c r="I501" s="1" t="s">
        <v>32</v>
      </c>
      <c r="J501" s="1" t="s">
        <v>32</v>
      </c>
      <c r="K501" s="1" t="s">
        <v>2150</v>
      </c>
      <c r="L501">
        <v>1</v>
      </c>
      <c r="M501">
        <v>1</v>
      </c>
      <c r="N501">
        <v>0</v>
      </c>
      <c r="O501">
        <v>3</v>
      </c>
      <c r="P501">
        <v>2</v>
      </c>
      <c r="Q501">
        <v>0</v>
      </c>
      <c r="R501">
        <v>0</v>
      </c>
      <c r="S501">
        <v>1</v>
      </c>
      <c r="T501">
        <v>1</v>
      </c>
      <c r="U501" s="1" t="s">
        <v>2151</v>
      </c>
      <c r="V501" s="1" t="s">
        <v>96</v>
      </c>
      <c r="W501" s="1">
        <f t="shared" si="7"/>
        <v>229.39</v>
      </c>
      <c r="X501" s="1" t="s">
        <v>193</v>
      </c>
      <c r="Y501">
        <v>1</v>
      </c>
      <c r="Z501">
        <v>1</v>
      </c>
      <c r="AA501">
        <v>51</v>
      </c>
    </row>
    <row r="502" spans="1:27" x14ac:dyDescent="0.3">
      <c r="A502" s="1" t="s">
        <v>2152</v>
      </c>
      <c r="B502">
        <v>501</v>
      </c>
      <c r="C502" s="1" t="s">
        <v>2153</v>
      </c>
      <c r="D502" s="1" t="s">
        <v>2154</v>
      </c>
      <c r="E502" s="1" t="s">
        <v>29</v>
      </c>
      <c r="F502" s="1" t="s">
        <v>31</v>
      </c>
      <c r="G502" s="1" t="s">
        <v>196</v>
      </c>
      <c r="H502" s="1" t="s">
        <v>55</v>
      </c>
      <c r="I502" s="1" t="s">
        <v>33</v>
      </c>
      <c r="J502" s="1" t="s">
        <v>33</v>
      </c>
      <c r="K502" s="1" t="s">
        <v>34</v>
      </c>
      <c r="L502">
        <v>1</v>
      </c>
      <c r="M502">
        <v>0</v>
      </c>
      <c r="N502">
        <v>0</v>
      </c>
      <c r="O502">
        <v>4</v>
      </c>
      <c r="P502">
        <v>1</v>
      </c>
      <c r="Q502">
        <v>1</v>
      </c>
      <c r="R502">
        <v>0</v>
      </c>
      <c r="S502">
        <v>0</v>
      </c>
      <c r="T502">
        <v>0</v>
      </c>
      <c r="U502" s="1" t="s">
        <v>198</v>
      </c>
      <c r="V502" s="1">
        <v>0</v>
      </c>
      <c r="W502" s="1">
        <f t="shared" si="7"/>
        <v>0</v>
      </c>
      <c r="X502" s="1" t="s">
        <v>198</v>
      </c>
      <c r="Y502">
        <v>1</v>
      </c>
      <c r="Z502">
        <v>0</v>
      </c>
      <c r="AA502">
        <v>52</v>
      </c>
    </row>
    <row r="503" spans="1:27" x14ac:dyDescent="0.3">
      <c r="A503" s="1" t="s">
        <v>2155</v>
      </c>
      <c r="B503">
        <v>502</v>
      </c>
      <c r="C503" s="1" t="s">
        <v>2156</v>
      </c>
      <c r="D503" s="1" t="s">
        <v>2157</v>
      </c>
      <c r="E503" s="1" t="s">
        <v>39</v>
      </c>
      <c r="F503" s="1" t="s">
        <v>40</v>
      </c>
      <c r="G503" s="1" t="s">
        <v>203</v>
      </c>
      <c r="H503" s="1" t="s">
        <v>63</v>
      </c>
      <c r="I503" s="1" t="s">
        <v>33</v>
      </c>
      <c r="J503" s="1" t="s">
        <v>33</v>
      </c>
      <c r="K503" s="1" t="s">
        <v>34</v>
      </c>
      <c r="L503">
        <v>1</v>
      </c>
      <c r="M503">
        <v>0</v>
      </c>
      <c r="N503">
        <v>0</v>
      </c>
      <c r="O503">
        <v>5</v>
      </c>
      <c r="P503">
        <v>1</v>
      </c>
      <c r="Q503">
        <v>1</v>
      </c>
      <c r="R503">
        <v>0</v>
      </c>
      <c r="S503">
        <v>0</v>
      </c>
      <c r="T503">
        <v>0</v>
      </c>
      <c r="U503" s="1" t="s">
        <v>204</v>
      </c>
      <c r="V503" s="1">
        <v>0</v>
      </c>
      <c r="W503" s="1">
        <f t="shared" si="7"/>
        <v>0</v>
      </c>
      <c r="X503" s="1" t="s">
        <v>204</v>
      </c>
      <c r="Y503">
        <v>1</v>
      </c>
      <c r="Z503">
        <v>0</v>
      </c>
      <c r="AA503">
        <v>53</v>
      </c>
    </row>
    <row r="504" spans="1:27" x14ac:dyDescent="0.3">
      <c r="A504" s="1" t="s">
        <v>2158</v>
      </c>
      <c r="B504">
        <v>503</v>
      </c>
      <c r="C504" s="1" t="s">
        <v>2159</v>
      </c>
      <c r="D504" s="1" t="s">
        <v>2160</v>
      </c>
      <c r="E504" s="1" t="s">
        <v>41</v>
      </c>
      <c r="F504" s="1" t="s">
        <v>1084</v>
      </c>
      <c r="G504" s="1" t="s">
        <v>208</v>
      </c>
      <c r="H504" s="1" t="s">
        <v>74</v>
      </c>
      <c r="I504" s="1" t="s">
        <v>33</v>
      </c>
      <c r="J504" s="1" t="s">
        <v>33</v>
      </c>
      <c r="K504" s="1" t="s">
        <v>34</v>
      </c>
      <c r="L504">
        <v>2</v>
      </c>
      <c r="M504">
        <v>0</v>
      </c>
      <c r="N504">
        <v>0</v>
      </c>
      <c r="O504">
        <v>6</v>
      </c>
      <c r="P504">
        <v>2</v>
      </c>
      <c r="Q504">
        <v>1</v>
      </c>
      <c r="R504">
        <v>0</v>
      </c>
      <c r="S504">
        <v>0</v>
      </c>
      <c r="T504">
        <v>0</v>
      </c>
      <c r="U504" s="1" t="s">
        <v>121</v>
      </c>
      <c r="V504" s="1">
        <v>0</v>
      </c>
      <c r="W504" s="1">
        <f t="shared" si="7"/>
        <v>0</v>
      </c>
      <c r="X504" s="1" t="s">
        <v>121</v>
      </c>
      <c r="Y504">
        <v>1</v>
      </c>
      <c r="Z504">
        <v>0</v>
      </c>
      <c r="AA504">
        <v>54</v>
      </c>
    </row>
    <row r="505" spans="1:27" x14ac:dyDescent="0.3">
      <c r="A505" s="1" t="s">
        <v>2161</v>
      </c>
      <c r="B505">
        <v>504</v>
      </c>
      <c r="C505" s="1" t="s">
        <v>2162</v>
      </c>
      <c r="D505" s="1" t="s">
        <v>1168</v>
      </c>
      <c r="E505" s="1" t="s">
        <v>32</v>
      </c>
      <c r="F505" s="1" t="s">
        <v>1168</v>
      </c>
      <c r="G505" s="1" t="s">
        <v>212</v>
      </c>
      <c r="H505" s="1" t="s">
        <v>29</v>
      </c>
      <c r="I505" s="1" t="s">
        <v>56</v>
      </c>
      <c r="J505" s="1" t="s">
        <v>33</v>
      </c>
      <c r="K505" s="1" t="s">
        <v>34</v>
      </c>
      <c r="L505">
        <v>2</v>
      </c>
      <c r="M505">
        <v>2</v>
      </c>
      <c r="N505">
        <v>1</v>
      </c>
      <c r="O505">
        <v>1</v>
      </c>
      <c r="P505">
        <v>5</v>
      </c>
      <c r="Q505">
        <v>0</v>
      </c>
      <c r="R505">
        <v>1</v>
      </c>
      <c r="S505">
        <v>0</v>
      </c>
      <c r="T505">
        <v>0</v>
      </c>
      <c r="U505" s="1" t="s">
        <v>282</v>
      </c>
      <c r="V505" s="1">
        <v>0</v>
      </c>
      <c r="W505" s="1">
        <f t="shared" si="7"/>
        <v>0</v>
      </c>
      <c r="X505" s="1" t="s">
        <v>282</v>
      </c>
      <c r="Y505">
        <v>1</v>
      </c>
      <c r="Z505">
        <v>0</v>
      </c>
      <c r="AA505">
        <v>55</v>
      </c>
    </row>
    <row r="506" spans="1:27" x14ac:dyDescent="0.3">
      <c r="A506" s="1" t="s">
        <v>2163</v>
      </c>
      <c r="B506">
        <v>505</v>
      </c>
      <c r="C506" s="1" t="s">
        <v>2164</v>
      </c>
      <c r="D506" s="1" t="s">
        <v>216</v>
      </c>
      <c r="E506" s="1" t="s">
        <v>29</v>
      </c>
      <c r="F506" s="1" t="s">
        <v>216</v>
      </c>
      <c r="G506" s="1" t="s">
        <v>216</v>
      </c>
      <c r="H506" s="1" t="s">
        <v>32</v>
      </c>
      <c r="I506" s="1" t="s">
        <v>64</v>
      </c>
      <c r="J506" s="1" t="s">
        <v>29</v>
      </c>
      <c r="K506" s="1" t="s">
        <v>217</v>
      </c>
      <c r="L506">
        <v>2</v>
      </c>
      <c r="M506">
        <v>0</v>
      </c>
      <c r="N506">
        <v>0</v>
      </c>
      <c r="O506">
        <v>2</v>
      </c>
      <c r="P506">
        <v>2</v>
      </c>
      <c r="Q506">
        <v>0</v>
      </c>
      <c r="R506">
        <v>0</v>
      </c>
      <c r="S506">
        <v>0</v>
      </c>
      <c r="T506">
        <v>0</v>
      </c>
      <c r="U506" s="1" t="s">
        <v>218</v>
      </c>
      <c r="V506" s="1" t="s">
        <v>219</v>
      </c>
      <c r="W506" s="1">
        <f t="shared" si="7"/>
        <v>206.79</v>
      </c>
      <c r="X506" s="1" t="s">
        <v>220</v>
      </c>
      <c r="Y506">
        <v>1</v>
      </c>
      <c r="Z506">
        <v>0</v>
      </c>
      <c r="AA506">
        <v>56</v>
      </c>
    </row>
    <row r="507" spans="1:27" x14ac:dyDescent="0.3">
      <c r="A507" s="1" t="s">
        <v>2165</v>
      </c>
      <c r="B507">
        <v>506</v>
      </c>
      <c r="C507" s="1" t="s">
        <v>2166</v>
      </c>
      <c r="D507" s="1" t="s">
        <v>2167</v>
      </c>
      <c r="E507" s="1" t="s">
        <v>39</v>
      </c>
      <c r="F507" s="1" t="s">
        <v>1175</v>
      </c>
      <c r="G507" s="1" t="s">
        <v>223</v>
      </c>
      <c r="H507" s="1" t="s">
        <v>41</v>
      </c>
      <c r="I507" s="1" t="s">
        <v>64</v>
      </c>
      <c r="J507" s="1" t="s">
        <v>75</v>
      </c>
      <c r="K507" s="1" t="s">
        <v>224</v>
      </c>
      <c r="L507">
        <v>3</v>
      </c>
      <c r="M507">
        <v>0</v>
      </c>
      <c r="N507">
        <v>0</v>
      </c>
      <c r="O507">
        <v>3</v>
      </c>
      <c r="P507">
        <v>3</v>
      </c>
      <c r="Q507">
        <v>0</v>
      </c>
      <c r="R507">
        <v>0</v>
      </c>
      <c r="S507">
        <v>0</v>
      </c>
      <c r="T507">
        <v>0</v>
      </c>
      <c r="U507" s="1" t="s">
        <v>225</v>
      </c>
      <c r="V507" s="1" t="s">
        <v>226</v>
      </c>
      <c r="W507" s="1">
        <f t="shared" si="7"/>
        <v>94.92</v>
      </c>
      <c r="X507" s="1" t="s">
        <v>227</v>
      </c>
      <c r="Y507">
        <v>1</v>
      </c>
      <c r="Z507">
        <v>0</v>
      </c>
      <c r="AA507">
        <v>57</v>
      </c>
    </row>
    <row r="508" spans="1:27" x14ac:dyDescent="0.3">
      <c r="A508" s="1" t="s">
        <v>2168</v>
      </c>
      <c r="B508">
        <v>507</v>
      </c>
      <c r="C508" s="1" t="s">
        <v>2169</v>
      </c>
      <c r="D508" s="1" t="s">
        <v>1179</v>
      </c>
      <c r="E508" s="1" t="s">
        <v>41</v>
      </c>
      <c r="F508" s="1" t="s">
        <v>1179</v>
      </c>
      <c r="G508" s="1" t="s">
        <v>230</v>
      </c>
      <c r="H508" s="1" t="s">
        <v>48</v>
      </c>
      <c r="I508" s="1" t="s">
        <v>32</v>
      </c>
      <c r="J508" s="1" t="s">
        <v>75</v>
      </c>
      <c r="K508" s="1" t="s">
        <v>297</v>
      </c>
      <c r="L508">
        <v>3</v>
      </c>
      <c r="M508">
        <v>0</v>
      </c>
      <c r="N508">
        <v>0</v>
      </c>
      <c r="O508">
        <v>4</v>
      </c>
      <c r="P508">
        <v>3</v>
      </c>
      <c r="Q508">
        <v>0</v>
      </c>
      <c r="R508">
        <v>0</v>
      </c>
      <c r="S508">
        <v>1</v>
      </c>
      <c r="T508">
        <v>1</v>
      </c>
      <c r="U508" s="1" t="s">
        <v>297</v>
      </c>
      <c r="V508" s="1" t="s">
        <v>152</v>
      </c>
      <c r="W508" s="1">
        <f t="shared" si="7"/>
        <v>63.28</v>
      </c>
      <c r="X508" s="1" t="s">
        <v>49</v>
      </c>
      <c r="Y508">
        <v>1</v>
      </c>
      <c r="Z508">
        <v>1</v>
      </c>
      <c r="AA508">
        <v>58</v>
      </c>
    </row>
    <row r="509" spans="1:27" x14ac:dyDescent="0.3">
      <c r="A509" s="1" t="s">
        <v>2170</v>
      </c>
      <c r="B509">
        <v>508</v>
      </c>
      <c r="C509" s="1" t="s">
        <v>2171</v>
      </c>
      <c r="D509" s="1" t="s">
        <v>238</v>
      </c>
      <c r="E509" s="1" t="s">
        <v>32</v>
      </c>
      <c r="F509" s="1" t="s">
        <v>238</v>
      </c>
      <c r="G509" s="1" t="s">
        <v>238</v>
      </c>
      <c r="H509" s="1" t="s">
        <v>55</v>
      </c>
      <c r="I509" s="1" t="s">
        <v>32</v>
      </c>
      <c r="J509" s="1" t="s">
        <v>41</v>
      </c>
      <c r="K509" s="1" t="s">
        <v>159</v>
      </c>
      <c r="L509">
        <v>3</v>
      </c>
      <c r="M509">
        <v>1</v>
      </c>
      <c r="N509">
        <v>0</v>
      </c>
      <c r="O509">
        <v>5</v>
      </c>
      <c r="P509">
        <v>4</v>
      </c>
      <c r="Q509">
        <v>0</v>
      </c>
      <c r="R509">
        <v>0</v>
      </c>
      <c r="S509">
        <v>1</v>
      </c>
      <c r="T509">
        <v>1</v>
      </c>
      <c r="U509" s="1" t="s">
        <v>160</v>
      </c>
      <c r="V509" s="1" t="s">
        <v>161</v>
      </c>
      <c r="W509" s="1">
        <f t="shared" si="7"/>
        <v>66.67</v>
      </c>
      <c r="X509" s="1" t="s">
        <v>57</v>
      </c>
      <c r="Y509">
        <v>1</v>
      </c>
      <c r="Z509">
        <v>1</v>
      </c>
      <c r="AA509">
        <v>59</v>
      </c>
    </row>
    <row r="510" spans="1:27" x14ac:dyDescent="0.3">
      <c r="A510" s="1" t="s">
        <v>2172</v>
      </c>
      <c r="B510">
        <v>509</v>
      </c>
      <c r="C510" s="1" t="s">
        <v>2173</v>
      </c>
      <c r="D510" s="1" t="s">
        <v>2174</v>
      </c>
      <c r="E510" s="1" t="s">
        <v>29</v>
      </c>
      <c r="F510" s="1" t="s">
        <v>1187</v>
      </c>
      <c r="G510" s="1" t="s">
        <v>242</v>
      </c>
      <c r="H510" s="1" t="s">
        <v>63</v>
      </c>
      <c r="I510" s="1" t="s">
        <v>32</v>
      </c>
      <c r="J510" s="1" t="s">
        <v>32</v>
      </c>
      <c r="K510" s="1" t="s">
        <v>1048</v>
      </c>
      <c r="L510">
        <v>3</v>
      </c>
      <c r="M510">
        <v>0</v>
      </c>
      <c r="N510">
        <v>0</v>
      </c>
      <c r="O510">
        <v>6</v>
      </c>
      <c r="P510">
        <v>3</v>
      </c>
      <c r="Q510">
        <v>0</v>
      </c>
      <c r="R510">
        <v>0</v>
      </c>
      <c r="S510">
        <v>1</v>
      </c>
      <c r="T510">
        <v>1</v>
      </c>
      <c r="U510" s="1" t="s">
        <v>1049</v>
      </c>
      <c r="V510" s="1" t="s">
        <v>588</v>
      </c>
      <c r="W510" s="1">
        <f t="shared" si="7"/>
        <v>263.97000000000003</v>
      </c>
      <c r="X510" s="1" t="s">
        <v>1050</v>
      </c>
      <c r="Y510">
        <v>1</v>
      </c>
      <c r="Z510">
        <v>1</v>
      </c>
      <c r="AA510">
        <v>60</v>
      </c>
    </row>
    <row r="511" spans="1:27" x14ac:dyDescent="0.3">
      <c r="A511" s="1" t="s">
        <v>2175</v>
      </c>
      <c r="B511">
        <v>510</v>
      </c>
      <c r="C511" s="1" t="s">
        <v>2176</v>
      </c>
      <c r="D511" s="1" t="s">
        <v>2177</v>
      </c>
      <c r="E511" s="1" t="s">
        <v>39</v>
      </c>
      <c r="F511" s="1" t="s">
        <v>1193</v>
      </c>
      <c r="G511" s="1" t="s">
        <v>75</v>
      </c>
      <c r="H511" s="1" t="s">
        <v>74</v>
      </c>
      <c r="I511" s="1" t="s">
        <v>32</v>
      </c>
      <c r="J511" s="1" t="s">
        <v>74</v>
      </c>
      <c r="K511" s="1" t="s">
        <v>2178</v>
      </c>
      <c r="L511">
        <v>1</v>
      </c>
      <c r="M511">
        <v>2</v>
      </c>
      <c r="N511">
        <v>0</v>
      </c>
      <c r="O511">
        <v>1</v>
      </c>
      <c r="P511">
        <v>3</v>
      </c>
      <c r="Q511">
        <v>0</v>
      </c>
      <c r="R511">
        <v>0</v>
      </c>
      <c r="S511">
        <v>1</v>
      </c>
      <c r="T511">
        <v>1</v>
      </c>
      <c r="U511" s="1" t="s">
        <v>2178</v>
      </c>
      <c r="V511" s="1" t="s">
        <v>78</v>
      </c>
      <c r="W511" s="1">
        <f t="shared" si="7"/>
        <v>54.92</v>
      </c>
      <c r="X511" s="1" t="s">
        <v>2179</v>
      </c>
      <c r="Y511">
        <v>1</v>
      </c>
      <c r="Z511">
        <v>1</v>
      </c>
      <c r="AA511">
        <v>61</v>
      </c>
    </row>
    <row r="512" spans="1:27" x14ac:dyDescent="0.3">
      <c r="A512" s="1" t="s">
        <v>2180</v>
      </c>
      <c r="B512">
        <v>511</v>
      </c>
      <c r="C512" s="1" t="s">
        <v>2181</v>
      </c>
      <c r="D512" s="1" t="s">
        <v>2182</v>
      </c>
      <c r="E512" s="1" t="s">
        <v>41</v>
      </c>
      <c r="F512" s="1" t="s">
        <v>117</v>
      </c>
      <c r="G512" s="1" t="s">
        <v>251</v>
      </c>
      <c r="H512" s="1" t="s">
        <v>29</v>
      </c>
      <c r="I512" s="1" t="s">
        <v>32</v>
      </c>
      <c r="J512" s="1" t="s">
        <v>29</v>
      </c>
      <c r="K512" s="1" t="s">
        <v>85</v>
      </c>
      <c r="L512">
        <v>1</v>
      </c>
      <c r="M512">
        <v>0</v>
      </c>
      <c r="N512">
        <v>0</v>
      </c>
      <c r="O512">
        <v>2</v>
      </c>
      <c r="P512">
        <v>1</v>
      </c>
      <c r="Q512">
        <v>0</v>
      </c>
      <c r="R512">
        <v>0</v>
      </c>
      <c r="S512">
        <v>1</v>
      </c>
      <c r="T512">
        <v>1</v>
      </c>
      <c r="U512" s="1" t="s">
        <v>86</v>
      </c>
      <c r="V512" s="1" t="s">
        <v>87</v>
      </c>
      <c r="W512" s="1">
        <f t="shared" si="7"/>
        <v>274.58999999999997</v>
      </c>
      <c r="X512" s="1" t="s">
        <v>88</v>
      </c>
      <c r="Y512">
        <v>1</v>
      </c>
      <c r="Z512">
        <v>1</v>
      </c>
      <c r="AA512">
        <v>62</v>
      </c>
    </row>
    <row r="513" spans="1:27" x14ac:dyDescent="0.3">
      <c r="A513" s="1" t="s">
        <v>2183</v>
      </c>
      <c r="B513">
        <v>512</v>
      </c>
      <c r="C513" s="1" t="s">
        <v>2184</v>
      </c>
      <c r="D513" s="1" t="s">
        <v>1201</v>
      </c>
      <c r="E513" s="1" t="s">
        <v>32</v>
      </c>
      <c r="F513" s="1" t="s">
        <v>1201</v>
      </c>
      <c r="G513" s="1" t="s">
        <v>254</v>
      </c>
      <c r="H513" s="1" t="s">
        <v>32</v>
      </c>
      <c r="I513" s="1" t="s">
        <v>32</v>
      </c>
      <c r="J513" s="1" t="s">
        <v>75</v>
      </c>
      <c r="K513" s="1" t="s">
        <v>94</v>
      </c>
      <c r="L513">
        <v>1</v>
      </c>
      <c r="M513">
        <v>1</v>
      </c>
      <c r="N513">
        <v>0</v>
      </c>
      <c r="O513">
        <v>3</v>
      </c>
      <c r="P513">
        <v>2</v>
      </c>
      <c r="Q513">
        <v>0</v>
      </c>
      <c r="R513">
        <v>0</v>
      </c>
      <c r="S513">
        <v>1</v>
      </c>
      <c r="T513">
        <v>1</v>
      </c>
      <c r="U513" s="1" t="s">
        <v>95</v>
      </c>
      <c r="V513" s="1" t="s">
        <v>96</v>
      </c>
      <c r="W513" s="1">
        <f t="shared" si="7"/>
        <v>229.39</v>
      </c>
      <c r="X513" s="1" t="s">
        <v>97</v>
      </c>
      <c r="Y513">
        <v>1</v>
      </c>
      <c r="Z513">
        <v>1</v>
      </c>
      <c r="AA513">
        <v>63</v>
      </c>
    </row>
    <row r="514" spans="1:27" x14ac:dyDescent="0.3">
      <c r="A514" s="1" t="s">
        <v>2185</v>
      </c>
      <c r="B514">
        <v>513</v>
      </c>
      <c r="C514" s="1" t="s">
        <v>2186</v>
      </c>
      <c r="D514" s="1" t="s">
        <v>2187</v>
      </c>
      <c r="E514" s="1" t="s">
        <v>29</v>
      </c>
      <c r="F514" s="1" t="s">
        <v>1123</v>
      </c>
      <c r="G514" s="1" t="s">
        <v>262</v>
      </c>
      <c r="H514" s="1" t="s">
        <v>41</v>
      </c>
      <c r="I514" s="1" t="s">
        <v>32</v>
      </c>
      <c r="J514" s="1" t="s">
        <v>41</v>
      </c>
      <c r="K514" s="1" t="s">
        <v>103</v>
      </c>
      <c r="L514">
        <v>2</v>
      </c>
      <c r="M514">
        <v>0</v>
      </c>
      <c r="N514">
        <v>0</v>
      </c>
      <c r="O514">
        <v>4</v>
      </c>
      <c r="P514">
        <v>2</v>
      </c>
      <c r="Q514">
        <v>0</v>
      </c>
      <c r="R514">
        <v>0</v>
      </c>
      <c r="S514">
        <v>1</v>
      </c>
      <c r="T514">
        <v>1</v>
      </c>
      <c r="U514" s="1" t="s">
        <v>103</v>
      </c>
      <c r="V514" s="1" t="s">
        <v>104</v>
      </c>
      <c r="W514" s="1">
        <f t="shared" ref="W514:W577" si="8">VALUE(SUBSTITUTE(TRIM(V514),".", ","))</f>
        <v>76.84</v>
      </c>
      <c r="X514" s="1" t="s">
        <v>105</v>
      </c>
      <c r="Y514">
        <v>1</v>
      </c>
      <c r="Z514">
        <v>1</v>
      </c>
      <c r="AA514">
        <v>64</v>
      </c>
    </row>
    <row r="515" spans="1:27" x14ac:dyDescent="0.3">
      <c r="A515" s="1" t="s">
        <v>2188</v>
      </c>
      <c r="B515">
        <v>514</v>
      </c>
      <c r="C515" s="1" t="s">
        <v>2189</v>
      </c>
      <c r="D515" s="1" t="s">
        <v>2190</v>
      </c>
      <c r="E515" s="1" t="s">
        <v>39</v>
      </c>
      <c r="F515" s="1" t="s">
        <v>141</v>
      </c>
      <c r="G515" s="1" t="s">
        <v>267</v>
      </c>
      <c r="H515" s="1" t="s">
        <v>48</v>
      </c>
      <c r="I515" s="1" t="s">
        <v>32</v>
      </c>
      <c r="J515" s="1" t="s">
        <v>32</v>
      </c>
      <c r="K515" s="1" t="s">
        <v>1068</v>
      </c>
      <c r="L515">
        <v>2</v>
      </c>
      <c r="M515">
        <v>0</v>
      </c>
      <c r="N515">
        <v>0</v>
      </c>
      <c r="O515">
        <v>5</v>
      </c>
      <c r="P515">
        <v>2</v>
      </c>
      <c r="Q515">
        <v>0</v>
      </c>
      <c r="R515">
        <v>0</v>
      </c>
      <c r="S515">
        <v>1</v>
      </c>
      <c r="T515">
        <v>1</v>
      </c>
      <c r="U515" s="1" t="s">
        <v>1069</v>
      </c>
      <c r="V515" s="1" t="s">
        <v>111</v>
      </c>
      <c r="W515" s="1">
        <f t="shared" si="8"/>
        <v>80.229999999999905</v>
      </c>
      <c r="X515" s="1" t="s">
        <v>204</v>
      </c>
      <c r="Y515">
        <v>1</v>
      </c>
      <c r="Z515">
        <v>1</v>
      </c>
      <c r="AA515">
        <v>65</v>
      </c>
    </row>
    <row r="516" spans="1:27" x14ac:dyDescent="0.3">
      <c r="A516" s="1" t="s">
        <v>2191</v>
      </c>
      <c r="B516">
        <v>515</v>
      </c>
      <c r="C516" s="1" t="s">
        <v>2192</v>
      </c>
      <c r="D516" s="1" t="s">
        <v>2193</v>
      </c>
      <c r="E516" s="1" t="s">
        <v>41</v>
      </c>
      <c r="F516" s="1" t="s">
        <v>150</v>
      </c>
      <c r="G516" s="1" t="s">
        <v>273</v>
      </c>
      <c r="H516" s="1" t="s">
        <v>55</v>
      </c>
      <c r="I516" s="1" t="s">
        <v>32</v>
      </c>
      <c r="J516" s="1" t="s">
        <v>74</v>
      </c>
      <c r="K516" s="1" t="s">
        <v>2194</v>
      </c>
      <c r="L516">
        <v>2</v>
      </c>
      <c r="M516">
        <v>0</v>
      </c>
      <c r="N516">
        <v>0</v>
      </c>
      <c r="O516">
        <v>6</v>
      </c>
      <c r="P516">
        <v>2</v>
      </c>
      <c r="Q516">
        <v>0</v>
      </c>
      <c r="R516">
        <v>0</v>
      </c>
      <c r="S516">
        <v>1</v>
      </c>
      <c r="T516">
        <v>1</v>
      </c>
      <c r="U516" s="1" t="s">
        <v>2195</v>
      </c>
      <c r="V516" s="1" t="s">
        <v>120</v>
      </c>
      <c r="W516" s="1">
        <f t="shared" si="8"/>
        <v>249.39</v>
      </c>
      <c r="X516" s="1" t="s">
        <v>1655</v>
      </c>
      <c r="Y516">
        <v>1</v>
      </c>
      <c r="Z516">
        <v>1</v>
      </c>
      <c r="AA516">
        <v>66</v>
      </c>
    </row>
    <row r="517" spans="1:27" x14ac:dyDescent="0.3">
      <c r="A517" s="1" t="s">
        <v>2196</v>
      </c>
      <c r="B517">
        <v>516</v>
      </c>
      <c r="C517" s="1" t="s">
        <v>2197</v>
      </c>
      <c r="D517" s="1" t="s">
        <v>2198</v>
      </c>
      <c r="E517" s="1" t="s">
        <v>32</v>
      </c>
      <c r="F517" s="1" t="s">
        <v>1136</v>
      </c>
      <c r="G517" s="1" t="s">
        <v>280</v>
      </c>
      <c r="H517" s="1" t="s">
        <v>63</v>
      </c>
      <c r="I517" s="1" t="s">
        <v>32</v>
      </c>
      <c r="J517" s="1" t="s">
        <v>29</v>
      </c>
      <c r="K517" s="1" t="s">
        <v>126</v>
      </c>
      <c r="L517">
        <v>3</v>
      </c>
      <c r="M517">
        <v>2</v>
      </c>
      <c r="N517">
        <v>1</v>
      </c>
      <c r="O517">
        <v>1</v>
      </c>
      <c r="P517">
        <v>6</v>
      </c>
      <c r="Q517">
        <v>0</v>
      </c>
      <c r="R517">
        <v>0</v>
      </c>
      <c r="S517">
        <v>1</v>
      </c>
      <c r="T517">
        <v>1</v>
      </c>
      <c r="U517" s="1" t="s">
        <v>126</v>
      </c>
      <c r="V517" s="1" t="s">
        <v>127</v>
      </c>
      <c r="W517" s="1">
        <f t="shared" si="8"/>
        <v>47.46</v>
      </c>
      <c r="X517" s="1" t="s">
        <v>128</v>
      </c>
      <c r="Y517">
        <v>1</v>
      </c>
      <c r="Z517">
        <v>1</v>
      </c>
      <c r="AA517">
        <v>67</v>
      </c>
    </row>
    <row r="518" spans="1:27" x14ac:dyDescent="0.3">
      <c r="A518" s="1" t="s">
        <v>2199</v>
      </c>
      <c r="B518">
        <v>517</v>
      </c>
      <c r="C518" s="1" t="s">
        <v>2200</v>
      </c>
      <c r="D518" s="1" t="s">
        <v>2201</v>
      </c>
      <c r="E518" s="1" t="s">
        <v>29</v>
      </c>
      <c r="F518" s="1" t="s">
        <v>1221</v>
      </c>
      <c r="G518" s="1" t="s">
        <v>285</v>
      </c>
      <c r="H518" s="1" t="s">
        <v>74</v>
      </c>
      <c r="I518" s="1" t="s">
        <v>32</v>
      </c>
      <c r="J518" s="1" t="s">
        <v>75</v>
      </c>
      <c r="K518" s="1" t="s">
        <v>133</v>
      </c>
      <c r="L518">
        <v>3</v>
      </c>
      <c r="M518">
        <v>0</v>
      </c>
      <c r="N518">
        <v>0</v>
      </c>
      <c r="O518">
        <v>2</v>
      </c>
      <c r="P518">
        <v>3</v>
      </c>
      <c r="Q518">
        <v>0</v>
      </c>
      <c r="R518">
        <v>0</v>
      </c>
      <c r="S518">
        <v>1</v>
      </c>
      <c r="T518">
        <v>1</v>
      </c>
      <c r="U518" s="1" t="s">
        <v>134</v>
      </c>
      <c r="V518" s="1" t="s">
        <v>135</v>
      </c>
      <c r="W518" s="1">
        <f t="shared" si="8"/>
        <v>281.02999999999997</v>
      </c>
      <c r="X518" s="1" t="s">
        <v>136</v>
      </c>
      <c r="Y518">
        <v>1</v>
      </c>
      <c r="Z518">
        <v>1</v>
      </c>
      <c r="AA518">
        <v>68</v>
      </c>
    </row>
    <row r="519" spans="1:27" x14ac:dyDescent="0.3">
      <c r="A519" s="1" t="s">
        <v>2202</v>
      </c>
      <c r="B519">
        <v>518</v>
      </c>
      <c r="C519" s="1" t="s">
        <v>2203</v>
      </c>
      <c r="D519" s="1" t="s">
        <v>1224</v>
      </c>
      <c r="E519" s="1" t="s">
        <v>39</v>
      </c>
      <c r="F519" s="1" t="s">
        <v>1224</v>
      </c>
      <c r="G519" s="1" t="s">
        <v>292</v>
      </c>
      <c r="H519" s="1" t="s">
        <v>29</v>
      </c>
      <c r="I519" s="1" t="s">
        <v>32</v>
      </c>
      <c r="J519" s="1" t="s">
        <v>41</v>
      </c>
      <c r="K519" s="1" t="s">
        <v>142</v>
      </c>
      <c r="L519">
        <v>3</v>
      </c>
      <c r="M519">
        <v>0</v>
      </c>
      <c r="N519">
        <v>0</v>
      </c>
      <c r="O519">
        <v>3</v>
      </c>
      <c r="P519">
        <v>3</v>
      </c>
      <c r="Q519">
        <v>0</v>
      </c>
      <c r="R519">
        <v>0</v>
      </c>
      <c r="S519">
        <v>1</v>
      </c>
      <c r="T519">
        <v>1</v>
      </c>
      <c r="U519" s="1" t="s">
        <v>143</v>
      </c>
      <c r="V519" s="1" t="s">
        <v>144</v>
      </c>
      <c r="W519" s="1">
        <f t="shared" si="8"/>
        <v>202.26999999999899</v>
      </c>
      <c r="X519" s="1" t="s">
        <v>145</v>
      </c>
      <c r="Y519">
        <v>1</v>
      </c>
      <c r="Z519">
        <v>1</v>
      </c>
      <c r="AA519">
        <v>69</v>
      </c>
    </row>
    <row r="520" spans="1:27" x14ac:dyDescent="0.3">
      <c r="A520" s="1" t="s">
        <v>2204</v>
      </c>
      <c r="B520">
        <v>519</v>
      </c>
      <c r="C520" s="1" t="s">
        <v>2205</v>
      </c>
      <c r="D520" s="1" t="s">
        <v>1227</v>
      </c>
      <c r="E520" s="1" t="s">
        <v>41</v>
      </c>
      <c r="F520" s="1" t="s">
        <v>1227</v>
      </c>
      <c r="G520" s="1" t="s">
        <v>74</v>
      </c>
      <c r="H520" s="1" t="s">
        <v>32</v>
      </c>
      <c r="I520" s="1" t="s">
        <v>32</v>
      </c>
      <c r="J520" s="1" t="s">
        <v>32</v>
      </c>
      <c r="K520" s="1" t="s">
        <v>297</v>
      </c>
      <c r="L520">
        <v>3</v>
      </c>
      <c r="M520">
        <v>0</v>
      </c>
      <c r="N520">
        <v>0</v>
      </c>
      <c r="O520">
        <v>4</v>
      </c>
      <c r="P520">
        <v>3</v>
      </c>
      <c r="Q520">
        <v>0</v>
      </c>
      <c r="R520">
        <v>0</v>
      </c>
      <c r="S520">
        <v>1</v>
      </c>
      <c r="T520">
        <v>1</v>
      </c>
      <c r="U520" s="1" t="s">
        <v>297</v>
      </c>
      <c r="V520" s="1" t="s">
        <v>152</v>
      </c>
      <c r="W520" s="1">
        <f t="shared" si="8"/>
        <v>63.28</v>
      </c>
      <c r="X520" s="1" t="s">
        <v>49</v>
      </c>
      <c r="Y520">
        <v>1</v>
      </c>
      <c r="Z520">
        <v>1</v>
      </c>
      <c r="AA520">
        <v>70</v>
      </c>
    </row>
    <row r="521" spans="1:27" x14ac:dyDescent="0.3">
      <c r="A521" s="1" t="s">
        <v>2206</v>
      </c>
      <c r="B521">
        <v>520</v>
      </c>
      <c r="C521" s="1" t="s">
        <v>2207</v>
      </c>
      <c r="D521" s="1" t="s">
        <v>2208</v>
      </c>
      <c r="E521" s="1" t="s">
        <v>32</v>
      </c>
      <c r="F521" s="1" t="s">
        <v>427</v>
      </c>
      <c r="G521" s="1" t="s">
        <v>301</v>
      </c>
      <c r="H521" s="1" t="s">
        <v>41</v>
      </c>
      <c r="I521" s="1" t="s">
        <v>32</v>
      </c>
      <c r="J521" s="1" t="s">
        <v>74</v>
      </c>
      <c r="K521" s="1" t="s">
        <v>1671</v>
      </c>
      <c r="L521">
        <v>1</v>
      </c>
      <c r="M521">
        <v>1</v>
      </c>
      <c r="N521">
        <v>0</v>
      </c>
      <c r="O521">
        <v>5</v>
      </c>
      <c r="P521">
        <v>2</v>
      </c>
      <c r="Q521">
        <v>0</v>
      </c>
      <c r="R521">
        <v>0</v>
      </c>
      <c r="S521">
        <v>1</v>
      </c>
      <c r="T521">
        <v>1</v>
      </c>
      <c r="U521" s="1" t="s">
        <v>1672</v>
      </c>
      <c r="V521" s="1" t="s">
        <v>161</v>
      </c>
      <c r="W521" s="1">
        <f t="shared" si="8"/>
        <v>66.67</v>
      </c>
      <c r="X521" s="1" t="s">
        <v>1673</v>
      </c>
      <c r="Y521">
        <v>1</v>
      </c>
      <c r="Z521">
        <v>1</v>
      </c>
      <c r="AA521">
        <v>71</v>
      </c>
    </row>
    <row r="522" spans="1:27" x14ac:dyDescent="0.3">
      <c r="A522" s="1" t="s">
        <v>2209</v>
      </c>
      <c r="B522">
        <v>521</v>
      </c>
      <c r="C522" s="1" t="s">
        <v>2210</v>
      </c>
      <c r="D522" s="1" t="s">
        <v>2211</v>
      </c>
      <c r="E522" s="1" t="s">
        <v>29</v>
      </c>
      <c r="F522" s="1" t="s">
        <v>1233</v>
      </c>
      <c r="G522" s="1" t="s">
        <v>33</v>
      </c>
      <c r="H522" s="1" t="s">
        <v>48</v>
      </c>
      <c r="I522" s="1" t="s">
        <v>33</v>
      </c>
      <c r="J522" s="1" t="s">
        <v>33</v>
      </c>
      <c r="K522" s="1" t="s">
        <v>34</v>
      </c>
      <c r="L522">
        <v>1</v>
      </c>
      <c r="M522">
        <v>0</v>
      </c>
      <c r="N522">
        <v>0</v>
      </c>
      <c r="O522">
        <v>6</v>
      </c>
      <c r="P522">
        <v>1</v>
      </c>
      <c r="Q522">
        <v>1</v>
      </c>
      <c r="R522">
        <v>0</v>
      </c>
      <c r="S522">
        <v>0</v>
      </c>
      <c r="T522">
        <v>0</v>
      </c>
      <c r="U522" s="1" t="s">
        <v>310</v>
      </c>
      <c r="V522" s="1">
        <v>0</v>
      </c>
      <c r="W522" s="1">
        <f t="shared" si="8"/>
        <v>0</v>
      </c>
      <c r="X522" s="1" t="s">
        <v>310</v>
      </c>
      <c r="Y522">
        <v>1</v>
      </c>
      <c r="Z522">
        <v>0</v>
      </c>
      <c r="AA522">
        <v>72</v>
      </c>
    </row>
    <row r="523" spans="1:27" x14ac:dyDescent="0.3">
      <c r="A523" s="1" t="s">
        <v>2212</v>
      </c>
      <c r="B523">
        <v>522</v>
      </c>
      <c r="C523" s="1" t="s">
        <v>2213</v>
      </c>
      <c r="D523" s="1" t="s">
        <v>2214</v>
      </c>
      <c r="E523" s="1" t="s">
        <v>39</v>
      </c>
      <c r="F523" s="1" t="s">
        <v>1161</v>
      </c>
      <c r="G523" s="1" t="s">
        <v>313</v>
      </c>
      <c r="H523" s="1" t="s">
        <v>55</v>
      </c>
      <c r="I523" s="1" t="s">
        <v>33</v>
      </c>
      <c r="J523" s="1" t="s">
        <v>33</v>
      </c>
      <c r="K523" s="1" t="s">
        <v>34</v>
      </c>
      <c r="L523">
        <v>1</v>
      </c>
      <c r="M523">
        <v>2</v>
      </c>
      <c r="N523">
        <v>0</v>
      </c>
      <c r="O523">
        <v>1</v>
      </c>
      <c r="P523">
        <v>3</v>
      </c>
      <c r="Q523">
        <v>1</v>
      </c>
      <c r="R523">
        <v>0</v>
      </c>
      <c r="S523">
        <v>0</v>
      </c>
      <c r="T523">
        <v>0</v>
      </c>
      <c r="U523" s="1" t="s">
        <v>2215</v>
      </c>
      <c r="V523" s="1">
        <v>0</v>
      </c>
      <c r="W523" s="1">
        <f t="shared" si="8"/>
        <v>0</v>
      </c>
      <c r="X523" s="1" t="s">
        <v>2215</v>
      </c>
      <c r="Y523">
        <v>1</v>
      </c>
      <c r="Z523">
        <v>0</v>
      </c>
      <c r="AA523">
        <v>73</v>
      </c>
    </row>
    <row r="524" spans="1:27" x14ac:dyDescent="0.3">
      <c r="A524" s="1" t="s">
        <v>2216</v>
      </c>
      <c r="B524">
        <v>523</v>
      </c>
      <c r="C524" s="1" t="s">
        <v>2217</v>
      </c>
      <c r="D524" s="1" t="s">
        <v>318</v>
      </c>
      <c r="E524" s="1" t="s">
        <v>41</v>
      </c>
      <c r="F524" s="1" t="s">
        <v>318</v>
      </c>
      <c r="G524" s="1" t="s">
        <v>318</v>
      </c>
      <c r="H524" s="1" t="s">
        <v>63</v>
      </c>
      <c r="I524" s="1" t="s">
        <v>33</v>
      </c>
      <c r="J524" s="1" t="s">
        <v>33</v>
      </c>
      <c r="K524" s="1" t="s">
        <v>34</v>
      </c>
      <c r="L524">
        <v>2</v>
      </c>
      <c r="M524">
        <v>0</v>
      </c>
      <c r="N524">
        <v>0</v>
      </c>
      <c r="O524">
        <v>2</v>
      </c>
      <c r="P524">
        <v>2</v>
      </c>
      <c r="Q524">
        <v>1</v>
      </c>
      <c r="R524">
        <v>0</v>
      </c>
      <c r="S524">
        <v>0</v>
      </c>
      <c r="T524">
        <v>0</v>
      </c>
      <c r="U524" s="1" t="s">
        <v>319</v>
      </c>
      <c r="V524" s="1">
        <v>0</v>
      </c>
      <c r="W524" s="1">
        <f t="shared" si="8"/>
        <v>0</v>
      </c>
      <c r="X524" s="1" t="s">
        <v>319</v>
      </c>
      <c r="Y524">
        <v>1</v>
      </c>
      <c r="Z524">
        <v>0</v>
      </c>
      <c r="AA524">
        <v>74</v>
      </c>
    </row>
    <row r="525" spans="1:27" x14ac:dyDescent="0.3">
      <c r="A525" s="1" t="s">
        <v>2218</v>
      </c>
      <c r="B525">
        <v>524</v>
      </c>
      <c r="C525" s="1" t="s">
        <v>2219</v>
      </c>
      <c r="D525" s="1" t="s">
        <v>322</v>
      </c>
      <c r="E525" s="1" t="s">
        <v>32</v>
      </c>
      <c r="F525" s="1" t="s">
        <v>322</v>
      </c>
      <c r="G525" s="1" t="s">
        <v>322</v>
      </c>
      <c r="H525" s="1" t="s">
        <v>74</v>
      </c>
      <c r="I525" s="1" t="s">
        <v>56</v>
      </c>
      <c r="J525" s="1" t="s">
        <v>33</v>
      </c>
      <c r="K525" s="1" t="s">
        <v>34</v>
      </c>
      <c r="L525">
        <v>2</v>
      </c>
      <c r="M525">
        <v>1</v>
      </c>
      <c r="N525">
        <v>0</v>
      </c>
      <c r="O525">
        <v>3</v>
      </c>
      <c r="P525">
        <v>3</v>
      </c>
      <c r="Q525">
        <v>0</v>
      </c>
      <c r="R525">
        <v>1</v>
      </c>
      <c r="S525">
        <v>0</v>
      </c>
      <c r="T525">
        <v>0</v>
      </c>
      <c r="U525" s="1" t="s">
        <v>323</v>
      </c>
      <c r="V525" s="1">
        <v>0</v>
      </c>
      <c r="W525" s="1">
        <f t="shared" si="8"/>
        <v>0</v>
      </c>
      <c r="X525" s="1" t="s">
        <v>323</v>
      </c>
      <c r="Y525">
        <v>1</v>
      </c>
      <c r="Z525">
        <v>0</v>
      </c>
      <c r="AA525">
        <v>75</v>
      </c>
    </row>
    <row r="526" spans="1:27" x14ac:dyDescent="0.3">
      <c r="A526" s="1" t="s">
        <v>2220</v>
      </c>
      <c r="B526">
        <v>525</v>
      </c>
      <c r="C526" s="1" t="s">
        <v>2221</v>
      </c>
      <c r="D526" s="1" t="s">
        <v>327</v>
      </c>
      <c r="E526" s="1" t="s">
        <v>29</v>
      </c>
      <c r="F526" s="1" t="s">
        <v>327</v>
      </c>
      <c r="G526" s="1" t="s">
        <v>327</v>
      </c>
      <c r="H526" s="1" t="s">
        <v>29</v>
      </c>
      <c r="I526" s="1" t="s">
        <v>64</v>
      </c>
      <c r="J526" s="1" t="s">
        <v>75</v>
      </c>
      <c r="K526" s="1" t="s">
        <v>328</v>
      </c>
      <c r="L526">
        <v>2</v>
      </c>
      <c r="M526">
        <v>0</v>
      </c>
      <c r="N526">
        <v>0</v>
      </c>
      <c r="O526">
        <v>4</v>
      </c>
      <c r="P526">
        <v>2</v>
      </c>
      <c r="Q526">
        <v>0</v>
      </c>
      <c r="R526">
        <v>0</v>
      </c>
      <c r="S526">
        <v>0</v>
      </c>
      <c r="T526">
        <v>0</v>
      </c>
      <c r="U526" s="1" t="s">
        <v>329</v>
      </c>
      <c r="V526" s="1" t="s">
        <v>104</v>
      </c>
      <c r="W526" s="1">
        <f t="shared" si="8"/>
        <v>76.84</v>
      </c>
      <c r="X526" s="1" t="s">
        <v>330</v>
      </c>
      <c r="Y526">
        <v>1</v>
      </c>
      <c r="Z526">
        <v>0</v>
      </c>
      <c r="AA526">
        <v>76</v>
      </c>
    </row>
    <row r="527" spans="1:27" x14ac:dyDescent="0.3">
      <c r="A527" s="1" t="s">
        <v>2222</v>
      </c>
      <c r="B527">
        <v>526</v>
      </c>
      <c r="C527" s="1" t="s">
        <v>2223</v>
      </c>
      <c r="D527" s="1" t="s">
        <v>1248</v>
      </c>
      <c r="E527" s="1" t="s">
        <v>39</v>
      </c>
      <c r="F527" s="1" t="s">
        <v>1248</v>
      </c>
      <c r="G527" s="1" t="s">
        <v>334</v>
      </c>
      <c r="H527" s="1" t="s">
        <v>32</v>
      </c>
      <c r="I527" s="1" t="s">
        <v>64</v>
      </c>
      <c r="J527" s="1" t="s">
        <v>41</v>
      </c>
      <c r="K527" s="1" t="s">
        <v>335</v>
      </c>
      <c r="L527">
        <v>3</v>
      </c>
      <c r="M527">
        <v>0</v>
      </c>
      <c r="N527">
        <v>0</v>
      </c>
      <c r="O527">
        <v>5</v>
      </c>
      <c r="P527">
        <v>3</v>
      </c>
      <c r="Q527">
        <v>0</v>
      </c>
      <c r="R527">
        <v>0</v>
      </c>
      <c r="S527">
        <v>0</v>
      </c>
      <c r="T527">
        <v>0</v>
      </c>
      <c r="U527" s="1" t="s">
        <v>336</v>
      </c>
      <c r="V527" s="1" t="s">
        <v>304</v>
      </c>
      <c r="W527" s="1">
        <f t="shared" si="8"/>
        <v>64.41</v>
      </c>
      <c r="X527" s="1" t="s">
        <v>337</v>
      </c>
      <c r="Y527">
        <v>1</v>
      </c>
      <c r="Z527">
        <v>0</v>
      </c>
      <c r="AA527">
        <v>77</v>
      </c>
    </row>
    <row r="528" spans="1:27" x14ac:dyDescent="0.3">
      <c r="A528" s="1" t="s">
        <v>2224</v>
      </c>
      <c r="B528">
        <v>527</v>
      </c>
      <c r="C528" s="1" t="s">
        <v>2225</v>
      </c>
      <c r="D528" s="1" t="s">
        <v>1251</v>
      </c>
      <c r="E528" s="1" t="s">
        <v>41</v>
      </c>
      <c r="F528" s="1" t="s">
        <v>1251</v>
      </c>
      <c r="G528" s="1" t="s">
        <v>342</v>
      </c>
      <c r="H528" s="1" t="s">
        <v>41</v>
      </c>
      <c r="I528" s="1" t="s">
        <v>32</v>
      </c>
      <c r="J528" s="1" t="s">
        <v>41</v>
      </c>
      <c r="K528" s="1" t="s">
        <v>421</v>
      </c>
      <c r="L528">
        <v>3</v>
      </c>
      <c r="M528">
        <v>0</v>
      </c>
      <c r="N528">
        <v>0</v>
      </c>
      <c r="O528">
        <v>6</v>
      </c>
      <c r="P528">
        <v>3</v>
      </c>
      <c r="Q528">
        <v>0</v>
      </c>
      <c r="R528">
        <v>0</v>
      </c>
      <c r="S528">
        <v>1</v>
      </c>
      <c r="T528">
        <v>1</v>
      </c>
      <c r="U528" s="1" t="s">
        <v>422</v>
      </c>
      <c r="V528" s="1" t="s">
        <v>169</v>
      </c>
      <c r="W528" s="1">
        <f t="shared" si="8"/>
        <v>270.07</v>
      </c>
      <c r="X528" s="1" t="s">
        <v>346</v>
      </c>
      <c r="Y528">
        <v>1</v>
      </c>
      <c r="Z528">
        <v>1</v>
      </c>
      <c r="AA528">
        <v>78</v>
      </c>
    </row>
    <row r="529" spans="1:27" x14ac:dyDescent="0.3">
      <c r="A529" s="1" t="s">
        <v>2226</v>
      </c>
      <c r="B529">
        <v>528</v>
      </c>
      <c r="C529" s="1" t="s">
        <v>2227</v>
      </c>
      <c r="D529" s="1" t="s">
        <v>351</v>
      </c>
      <c r="E529" s="1" t="s">
        <v>32</v>
      </c>
      <c r="F529" s="1" t="s">
        <v>351</v>
      </c>
      <c r="G529" s="1" t="s">
        <v>351</v>
      </c>
      <c r="H529" s="1" t="s">
        <v>48</v>
      </c>
      <c r="I529" s="1" t="s">
        <v>32</v>
      </c>
      <c r="J529" s="1" t="s">
        <v>32</v>
      </c>
      <c r="K529" s="1" t="s">
        <v>462</v>
      </c>
      <c r="L529">
        <v>3</v>
      </c>
      <c r="M529">
        <v>2</v>
      </c>
      <c r="N529">
        <v>1</v>
      </c>
      <c r="O529">
        <v>1</v>
      </c>
      <c r="P529">
        <v>6</v>
      </c>
      <c r="Q529">
        <v>0</v>
      </c>
      <c r="R529">
        <v>0</v>
      </c>
      <c r="S529">
        <v>1</v>
      </c>
      <c r="T529">
        <v>1</v>
      </c>
      <c r="U529" s="1" t="s">
        <v>462</v>
      </c>
      <c r="V529" s="1" t="s">
        <v>127</v>
      </c>
      <c r="W529" s="1">
        <f t="shared" si="8"/>
        <v>47.46</v>
      </c>
      <c r="X529" s="1" t="s">
        <v>354</v>
      </c>
      <c r="Y529">
        <v>1</v>
      </c>
      <c r="Z529">
        <v>1</v>
      </c>
      <c r="AA529">
        <v>79</v>
      </c>
    </row>
    <row r="530" spans="1:27" x14ac:dyDescent="0.3">
      <c r="A530" s="1" t="s">
        <v>2228</v>
      </c>
      <c r="B530">
        <v>529</v>
      </c>
      <c r="C530" s="1" t="s">
        <v>2229</v>
      </c>
      <c r="D530" s="1" t="s">
        <v>358</v>
      </c>
      <c r="E530" s="1" t="s">
        <v>29</v>
      </c>
      <c r="F530" s="1" t="s">
        <v>358</v>
      </c>
      <c r="G530" s="1" t="s">
        <v>358</v>
      </c>
      <c r="H530" s="1" t="s">
        <v>55</v>
      </c>
      <c r="I530" s="1" t="s">
        <v>32</v>
      </c>
      <c r="J530" s="1" t="s">
        <v>74</v>
      </c>
      <c r="K530" s="1" t="s">
        <v>359</v>
      </c>
      <c r="L530">
        <v>3</v>
      </c>
      <c r="M530">
        <v>0</v>
      </c>
      <c r="N530">
        <v>0</v>
      </c>
      <c r="O530">
        <v>2</v>
      </c>
      <c r="P530">
        <v>3</v>
      </c>
      <c r="Q530">
        <v>0</v>
      </c>
      <c r="R530">
        <v>0</v>
      </c>
      <c r="S530">
        <v>1</v>
      </c>
      <c r="T530">
        <v>1</v>
      </c>
      <c r="U530" s="1" t="s">
        <v>360</v>
      </c>
      <c r="V530" s="1" t="s">
        <v>288</v>
      </c>
      <c r="W530" s="1">
        <f t="shared" si="8"/>
        <v>301.70999999999998</v>
      </c>
      <c r="X530" s="1" t="s">
        <v>361</v>
      </c>
      <c r="Y530">
        <v>1</v>
      </c>
      <c r="Z530">
        <v>1</v>
      </c>
      <c r="AA530">
        <v>80</v>
      </c>
    </row>
    <row r="531" spans="1:27" x14ac:dyDescent="0.3">
      <c r="A531" s="1" t="s">
        <v>2230</v>
      </c>
      <c r="B531">
        <v>530</v>
      </c>
      <c r="C531" s="1" t="s">
        <v>2231</v>
      </c>
      <c r="D531" s="1" t="s">
        <v>2232</v>
      </c>
      <c r="E531" s="1" t="s">
        <v>39</v>
      </c>
      <c r="F531" s="1" t="s">
        <v>1263</v>
      </c>
      <c r="G531" s="1" t="s">
        <v>364</v>
      </c>
      <c r="H531" s="1" t="s">
        <v>63</v>
      </c>
      <c r="I531" s="1" t="s">
        <v>32</v>
      </c>
      <c r="J531" s="1" t="s">
        <v>29</v>
      </c>
      <c r="K531" s="1" t="s">
        <v>2233</v>
      </c>
      <c r="L531">
        <v>1</v>
      </c>
      <c r="M531">
        <v>0</v>
      </c>
      <c r="N531">
        <v>0</v>
      </c>
      <c r="O531">
        <v>3</v>
      </c>
      <c r="P531">
        <v>1</v>
      </c>
      <c r="Q531">
        <v>0</v>
      </c>
      <c r="R531">
        <v>0</v>
      </c>
      <c r="S531">
        <v>1</v>
      </c>
      <c r="T531">
        <v>1</v>
      </c>
      <c r="U531" s="1" t="s">
        <v>2234</v>
      </c>
      <c r="V531" s="1" t="s">
        <v>706</v>
      </c>
      <c r="W531" s="1">
        <f t="shared" si="8"/>
        <v>195.94</v>
      </c>
      <c r="X531" s="1" t="s">
        <v>367</v>
      </c>
      <c r="Y531">
        <v>1</v>
      </c>
      <c r="Z531">
        <v>1</v>
      </c>
      <c r="AA531">
        <v>81</v>
      </c>
    </row>
    <row r="532" spans="1:27" x14ac:dyDescent="0.3">
      <c r="A532" s="1" t="s">
        <v>2235</v>
      </c>
      <c r="B532">
        <v>531</v>
      </c>
      <c r="C532" s="1" t="s">
        <v>2236</v>
      </c>
      <c r="D532" s="1" t="s">
        <v>1270</v>
      </c>
      <c r="E532" s="1" t="s">
        <v>41</v>
      </c>
      <c r="F532" s="1" t="s">
        <v>1270</v>
      </c>
      <c r="G532" s="1" t="s">
        <v>41</v>
      </c>
      <c r="H532" s="1" t="s">
        <v>74</v>
      </c>
      <c r="I532" s="1" t="s">
        <v>32</v>
      </c>
      <c r="J532" s="1" t="s">
        <v>75</v>
      </c>
      <c r="K532" s="1" t="s">
        <v>2237</v>
      </c>
      <c r="L532">
        <v>1</v>
      </c>
      <c r="M532">
        <v>0</v>
      </c>
      <c r="N532">
        <v>0</v>
      </c>
      <c r="O532">
        <v>4</v>
      </c>
      <c r="P532">
        <v>1</v>
      </c>
      <c r="Q532">
        <v>0</v>
      </c>
      <c r="R532">
        <v>0</v>
      </c>
      <c r="S532">
        <v>1</v>
      </c>
      <c r="T532">
        <v>1</v>
      </c>
      <c r="U532" s="1" t="s">
        <v>2237</v>
      </c>
      <c r="V532" s="1" t="s">
        <v>232</v>
      </c>
      <c r="W532" s="1">
        <f t="shared" si="8"/>
        <v>56.95</v>
      </c>
      <c r="X532" s="1">
        <v>419</v>
      </c>
      <c r="Y532">
        <v>1</v>
      </c>
      <c r="Z532">
        <v>1</v>
      </c>
      <c r="AA532">
        <v>82</v>
      </c>
    </row>
    <row r="533" spans="1:27" x14ac:dyDescent="0.3">
      <c r="A533" s="1" t="s">
        <v>2238</v>
      </c>
      <c r="B533">
        <v>532</v>
      </c>
      <c r="C533" s="1" t="s">
        <v>2239</v>
      </c>
      <c r="D533" s="1" t="s">
        <v>375</v>
      </c>
      <c r="E533" s="1" t="s">
        <v>32</v>
      </c>
      <c r="F533" s="1" t="s">
        <v>375</v>
      </c>
      <c r="G533" s="1" t="s">
        <v>375</v>
      </c>
      <c r="H533" s="1" t="s">
        <v>29</v>
      </c>
      <c r="I533" s="1" t="s">
        <v>32</v>
      </c>
      <c r="J533" s="1" t="s">
        <v>41</v>
      </c>
      <c r="K533" s="1" t="s">
        <v>376</v>
      </c>
      <c r="L533">
        <v>1</v>
      </c>
      <c r="M533">
        <v>1</v>
      </c>
      <c r="N533">
        <v>0</v>
      </c>
      <c r="O533">
        <v>5</v>
      </c>
      <c r="P533">
        <v>2</v>
      </c>
      <c r="Q533">
        <v>0</v>
      </c>
      <c r="R533">
        <v>0</v>
      </c>
      <c r="S533">
        <v>1</v>
      </c>
      <c r="T533">
        <v>1</v>
      </c>
      <c r="U533" s="1" t="s">
        <v>377</v>
      </c>
      <c r="V533" s="1" t="s">
        <v>161</v>
      </c>
      <c r="W533" s="1">
        <f t="shared" si="8"/>
        <v>66.67</v>
      </c>
      <c r="X533" s="1" t="s">
        <v>378</v>
      </c>
      <c r="Y533">
        <v>1</v>
      </c>
      <c r="Z533">
        <v>1</v>
      </c>
      <c r="AA533">
        <v>83</v>
      </c>
    </row>
    <row r="534" spans="1:27" x14ac:dyDescent="0.3">
      <c r="A534" s="1" t="s">
        <v>2240</v>
      </c>
      <c r="B534">
        <v>533</v>
      </c>
      <c r="C534" s="1" t="s">
        <v>2241</v>
      </c>
      <c r="D534" s="1" t="s">
        <v>2242</v>
      </c>
      <c r="E534" s="1" t="s">
        <v>29</v>
      </c>
      <c r="F534" s="1" t="s">
        <v>1276</v>
      </c>
      <c r="G534" s="1" t="s">
        <v>382</v>
      </c>
      <c r="H534" s="1" t="s">
        <v>32</v>
      </c>
      <c r="I534" s="1" t="s">
        <v>32</v>
      </c>
      <c r="J534" s="1" t="s">
        <v>32</v>
      </c>
      <c r="K534" s="1" t="s">
        <v>525</v>
      </c>
      <c r="L534">
        <v>2</v>
      </c>
      <c r="M534">
        <v>0</v>
      </c>
      <c r="N534">
        <v>0</v>
      </c>
      <c r="O534">
        <v>6</v>
      </c>
      <c r="P534">
        <v>2</v>
      </c>
      <c r="Q534">
        <v>0</v>
      </c>
      <c r="R534">
        <v>0</v>
      </c>
      <c r="S534">
        <v>1</v>
      </c>
      <c r="T534">
        <v>1</v>
      </c>
      <c r="U534" s="1" t="s">
        <v>526</v>
      </c>
      <c r="V534" s="1" t="s">
        <v>169</v>
      </c>
      <c r="W534" s="1">
        <f t="shared" si="8"/>
        <v>270.07</v>
      </c>
      <c r="X534" s="1" t="s">
        <v>310</v>
      </c>
      <c r="Y534">
        <v>1</v>
      </c>
      <c r="Z534">
        <v>1</v>
      </c>
      <c r="AA534">
        <v>84</v>
      </c>
    </row>
    <row r="535" spans="1:27" x14ac:dyDescent="0.3">
      <c r="A535" s="1" t="s">
        <v>2243</v>
      </c>
      <c r="B535">
        <v>534</v>
      </c>
      <c r="C535" s="1" t="s">
        <v>2244</v>
      </c>
      <c r="D535" s="1" t="s">
        <v>1280</v>
      </c>
      <c r="E535" s="1" t="s">
        <v>39</v>
      </c>
      <c r="F535" s="1" t="s">
        <v>1280</v>
      </c>
      <c r="G535" s="1" t="s">
        <v>388</v>
      </c>
      <c r="H535" s="1" t="s">
        <v>41</v>
      </c>
      <c r="I535" s="1" t="s">
        <v>32</v>
      </c>
      <c r="J535" s="1" t="s">
        <v>74</v>
      </c>
      <c r="K535" s="1" t="s">
        <v>462</v>
      </c>
      <c r="L535">
        <v>2</v>
      </c>
      <c r="M535">
        <v>2</v>
      </c>
      <c r="N535">
        <v>0</v>
      </c>
      <c r="O535">
        <v>1</v>
      </c>
      <c r="P535">
        <v>4</v>
      </c>
      <c r="Q535">
        <v>0</v>
      </c>
      <c r="R535">
        <v>0</v>
      </c>
      <c r="S535">
        <v>1</v>
      </c>
      <c r="T535">
        <v>1</v>
      </c>
      <c r="U535" s="1" t="s">
        <v>462</v>
      </c>
      <c r="V535" s="1" t="s">
        <v>177</v>
      </c>
      <c r="W535" s="1">
        <f t="shared" si="8"/>
        <v>61.02</v>
      </c>
      <c r="X535" s="1" t="s">
        <v>463</v>
      </c>
      <c r="Y535">
        <v>1</v>
      </c>
      <c r="Z535">
        <v>1</v>
      </c>
      <c r="AA535">
        <v>85</v>
      </c>
    </row>
    <row r="536" spans="1:27" x14ac:dyDescent="0.3">
      <c r="A536" s="1" t="s">
        <v>2245</v>
      </c>
      <c r="B536">
        <v>535</v>
      </c>
      <c r="C536" s="1" t="s">
        <v>2246</v>
      </c>
      <c r="D536" s="1" t="s">
        <v>2247</v>
      </c>
      <c r="E536" s="1" t="s">
        <v>41</v>
      </c>
      <c r="F536" s="1" t="s">
        <v>1284</v>
      </c>
      <c r="G536" s="1" t="s">
        <v>395</v>
      </c>
      <c r="H536" s="1" t="s">
        <v>48</v>
      </c>
      <c r="I536" s="1" t="s">
        <v>32</v>
      </c>
      <c r="J536" s="1" t="s">
        <v>29</v>
      </c>
      <c r="K536" s="1" t="s">
        <v>1285</v>
      </c>
      <c r="L536">
        <v>2</v>
      </c>
      <c r="M536">
        <v>0</v>
      </c>
      <c r="N536">
        <v>0</v>
      </c>
      <c r="O536">
        <v>2</v>
      </c>
      <c r="P536">
        <v>2</v>
      </c>
      <c r="Q536">
        <v>0</v>
      </c>
      <c r="R536">
        <v>0</v>
      </c>
      <c r="S536">
        <v>1</v>
      </c>
      <c r="T536">
        <v>1</v>
      </c>
      <c r="U536" s="1" t="s">
        <v>1286</v>
      </c>
      <c r="V536" s="1" t="s">
        <v>87</v>
      </c>
      <c r="W536" s="1">
        <f t="shared" si="8"/>
        <v>274.58999999999997</v>
      </c>
      <c r="X536" s="1" t="s">
        <v>1287</v>
      </c>
      <c r="Y536">
        <v>1</v>
      </c>
      <c r="Z536">
        <v>1</v>
      </c>
      <c r="AA536">
        <v>86</v>
      </c>
    </row>
    <row r="537" spans="1:27" x14ac:dyDescent="0.3">
      <c r="A537" s="1" t="s">
        <v>2248</v>
      </c>
      <c r="B537">
        <v>536</v>
      </c>
      <c r="C537" s="1" t="s">
        <v>2249</v>
      </c>
      <c r="D537" s="1" t="s">
        <v>2250</v>
      </c>
      <c r="E537" s="1" t="s">
        <v>32</v>
      </c>
      <c r="F537" s="1" t="s">
        <v>1216</v>
      </c>
      <c r="G537" s="1" t="s">
        <v>403</v>
      </c>
      <c r="H537" s="1" t="s">
        <v>55</v>
      </c>
      <c r="I537" s="1" t="s">
        <v>32</v>
      </c>
      <c r="J537" s="1" t="s">
        <v>75</v>
      </c>
      <c r="K537" s="1" t="s">
        <v>1748</v>
      </c>
      <c r="L537">
        <v>3</v>
      </c>
      <c r="M537">
        <v>1</v>
      </c>
      <c r="N537">
        <v>0</v>
      </c>
      <c r="O537">
        <v>3</v>
      </c>
      <c r="P537">
        <v>4</v>
      </c>
      <c r="Q537">
        <v>0</v>
      </c>
      <c r="R537">
        <v>0</v>
      </c>
      <c r="S537">
        <v>1</v>
      </c>
      <c r="T537">
        <v>1</v>
      </c>
      <c r="U537" s="1" t="s">
        <v>1749</v>
      </c>
      <c r="V537" s="1" t="s">
        <v>257</v>
      </c>
      <c r="W537" s="1">
        <f t="shared" si="8"/>
        <v>222.95</v>
      </c>
      <c r="X537" s="1" t="s">
        <v>323</v>
      </c>
      <c r="Y537">
        <v>1</v>
      </c>
      <c r="Z537">
        <v>1</v>
      </c>
      <c r="AA537">
        <v>87</v>
      </c>
    </row>
    <row r="538" spans="1:27" x14ac:dyDescent="0.3">
      <c r="A538" s="1" t="s">
        <v>2251</v>
      </c>
      <c r="B538">
        <v>537</v>
      </c>
      <c r="C538" s="1" t="s">
        <v>2252</v>
      </c>
      <c r="D538" s="1" t="s">
        <v>2253</v>
      </c>
      <c r="E538" s="1" t="s">
        <v>29</v>
      </c>
      <c r="F538" s="1" t="s">
        <v>1220</v>
      </c>
      <c r="G538" s="1" t="s">
        <v>408</v>
      </c>
      <c r="H538" s="1" t="s">
        <v>63</v>
      </c>
      <c r="I538" s="1" t="s">
        <v>32</v>
      </c>
      <c r="J538" s="1" t="s">
        <v>41</v>
      </c>
      <c r="K538" s="1" t="s">
        <v>409</v>
      </c>
      <c r="L538">
        <v>3</v>
      </c>
      <c r="M538">
        <v>0</v>
      </c>
      <c r="N538">
        <v>0</v>
      </c>
      <c r="O538">
        <v>4</v>
      </c>
      <c r="P538">
        <v>3</v>
      </c>
      <c r="Q538">
        <v>0</v>
      </c>
      <c r="R538">
        <v>0</v>
      </c>
      <c r="S538">
        <v>1</v>
      </c>
      <c r="T538">
        <v>1</v>
      </c>
      <c r="U538" s="1" t="s">
        <v>409</v>
      </c>
      <c r="V538" s="1" t="s">
        <v>104</v>
      </c>
      <c r="W538" s="1">
        <f t="shared" si="8"/>
        <v>76.84</v>
      </c>
      <c r="X538" s="1" t="s">
        <v>410</v>
      </c>
      <c r="Y538">
        <v>1</v>
      </c>
      <c r="Z538">
        <v>1</v>
      </c>
      <c r="AA538">
        <v>88</v>
      </c>
    </row>
    <row r="539" spans="1:27" x14ac:dyDescent="0.3">
      <c r="A539" s="1" t="s">
        <v>2254</v>
      </c>
      <c r="B539">
        <v>538</v>
      </c>
      <c r="C539" s="1" t="s">
        <v>2255</v>
      </c>
      <c r="D539" s="1" t="s">
        <v>2256</v>
      </c>
      <c r="E539" s="1" t="s">
        <v>39</v>
      </c>
      <c r="F539" s="1" t="s">
        <v>292</v>
      </c>
      <c r="G539" s="1" t="s">
        <v>413</v>
      </c>
      <c r="H539" s="1" t="s">
        <v>74</v>
      </c>
      <c r="I539" s="1" t="s">
        <v>32</v>
      </c>
      <c r="J539" s="1" t="s">
        <v>32</v>
      </c>
      <c r="K539" s="1" t="s">
        <v>2257</v>
      </c>
      <c r="L539">
        <v>3</v>
      </c>
      <c r="M539">
        <v>0</v>
      </c>
      <c r="N539">
        <v>0</v>
      </c>
      <c r="O539">
        <v>5</v>
      </c>
      <c r="P539">
        <v>3</v>
      </c>
      <c r="Q539">
        <v>0</v>
      </c>
      <c r="R539">
        <v>0</v>
      </c>
      <c r="S539">
        <v>1</v>
      </c>
      <c r="T539">
        <v>1</v>
      </c>
      <c r="U539" s="1" t="s">
        <v>2258</v>
      </c>
      <c r="V539" s="1" t="s">
        <v>270</v>
      </c>
      <c r="W539" s="1">
        <f t="shared" si="8"/>
        <v>73.789999999999907</v>
      </c>
      <c r="X539" s="1" t="s">
        <v>337</v>
      </c>
      <c r="Y539">
        <v>1</v>
      </c>
      <c r="Z539">
        <v>1</v>
      </c>
      <c r="AA539">
        <v>89</v>
      </c>
    </row>
    <row r="540" spans="1:27" x14ac:dyDescent="0.3">
      <c r="A540" s="1" t="s">
        <v>2259</v>
      </c>
      <c r="B540">
        <v>539</v>
      </c>
      <c r="C540" s="1" t="s">
        <v>2260</v>
      </c>
      <c r="D540" s="1" t="s">
        <v>420</v>
      </c>
      <c r="E540" s="1" t="s">
        <v>41</v>
      </c>
      <c r="F540" s="1" t="s">
        <v>74</v>
      </c>
      <c r="G540" s="1" t="s">
        <v>420</v>
      </c>
      <c r="H540" s="1" t="s">
        <v>29</v>
      </c>
      <c r="I540" s="1" t="s">
        <v>32</v>
      </c>
      <c r="J540" s="1" t="s">
        <v>74</v>
      </c>
      <c r="K540" s="1" t="s">
        <v>421</v>
      </c>
      <c r="L540">
        <v>3</v>
      </c>
      <c r="M540">
        <v>0</v>
      </c>
      <c r="N540">
        <v>0</v>
      </c>
      <c r="O540">
        <v>6</v>
      </c>
      <c r="P540">
        <v>3</v>
      </c>
      <c r="Q540">
        <v>0</v>
      </c>
      <c r="R540">
        <v>0</v>
      </c>
      <c r="S540">
        <v>1</v>
      </c>
      <c r="T540">
        <v>1</v>
      </c>
      <c r="U540" s="1" t="s">
        <v>422</v>
      </c>
      <c r="V540" s="1" t="s">
        <v>169</v>
      </c>
      <c r="W540" s="1">
        <f t="shared" si="8"/>
        <v>270.07</v>
      </c>
      <c r="X540" s="1" t="s">
        <v>346</v>
      </c>
      <c r="Y540">
        <v>1</v>
      </c>
      <c r="Z540">
        <v>1</v>
      </c>
      <c r="AA540">
        <v>90</v>
      </c>
    </row>
    <row r="541" spans="1:27" x14ac:dyDescent="0.3">
      <c r="A541" s="1" t="s">
        <v>2261</v>
      </c>
      <c r="B541">
        <v>540</v>
      </c>
      <c r="C541" s="1" t="s">
        <v>2262</v>
      </c>
      <c r="D541" s="1" t="s">
        <v>2263</v>
      </c>
      <c r="E541" s="1" t="s">
        <v>32</v>
      </c>
      <c r="F541" s="1" t="s">
        <v>301</v>
      </c>
      <c r="G541" s="1" t="s">
        <v>427</v>
      </c>
      <c r="H541" s="1" t="s">
        <v>32</v>
      </c>
      <c r="I541" s="1" t="s">
        <v>32</v>
      </c>
      <c r="J541" s="1" t="s">
        <v>29</v>
      </c>
      <c r="K541" s="1" t="s">
        <v>428</v>
      </c>
      <c r="L541">
        <v>1</v>
      </c>
      <c r="M541">
        <v>2</v>
      </c>
      <c r="N541">
        <v>1</v>
      </c>
      <c r="O541">
        <v>1</v>
      </c>
      <c r="P541">
        <v>4</v>
      </c>
      <c r="Q541">
        <v>0</v>
      </c>
      <c r="R541">
        <v>0</v>
      </c>
      <c r="S541">
        <v>1</v>
      </c>
      <c r="T541">
        <v>1</v>
      </c>
      <c r="U541" s="1" t="s">
        <v>428</v>
      </c>
      <c r="V541" s="1" t="s">
        <v>127</v>
      </c>
      <c r="W541" s="1">
        <f t="shared" si="8"/>
        <v>47.46</v>
      </c>
      <c r="X541" s="1" t="s">
        <v>429</v>
      </c>
      <c r="Y541">
        <v>1</v>
      </c>
      <c r="Z541">
        <v>1</v>
      </c>
      <c r="AA541">
        <v>1</v>
      </c>
    </row>
    <row r="542" spans="1:27" x14ac:dyDescent="0.3">
      <c r="A542" s="1" t="s">
        <v>2264</v>
      </c>
      <c r="B542">
        <v>541</v>
      </c>
      <c r="C542" s="1" t="s">
        <v>2265</v>
      </c>
      <c r="D542" s="1" t="s">
        <v>433</v>
      </c>
      <c r="E542" s="1" t="s">
        <v>29</v>
      </c>
      <c r="F542" s="1" t="s">
        <v>433</v>
      </c>
      <c r="G542" s="1" t="s">
        <v>433</v>
      </c>
      <c r="H542" s="1" t="s">
        <v>41</v>
      </c>
      <c r="I542" s="1" t="s">
        <v>33</v>
      </c>
      <c r="J542" s="1" t="s">
        <v>33</v>
      </c>
      <c r="K542" s="1" t="s">
        <v>34</v>
      </c>
      <c r="L542">
        <v>1</v>
      </c>
      <c r="M542">
        <v>0</v>
      </c>
      <c r="N542">
        <v>0</v>
      </c>
      <c r="O542">
        <v>2</v>
      </c>
      <c r="P542">
        <v>1</v>
      </c>
      <c r="Q542">
        <v>1</v>
      </c>
      <c r="R542">
        <v>0</v>
      </c>
      <c r="S542">
        <v>0</v>
      </c>
      <c r="T542">
        <v>0</v>
      </c>
      <c r="U542" s="1" t="s">
        <v>434</v>
      </c>
      <c r="V542" s="1">
        <v>0</v>
      </c>
      <c r="W542" s="1">
        <f t="shared" si="8"/>
        <v>0</v>
      </c>
      <c r="X542" s="1" t="s">
        <v>434</v>
      </c>
      <c r="Y542">
        <v>1</v>
      </c>
      <c r="Z542">
        <v>0</v>
      </c>
      <c r="AA542">
        <v>2</v>
      </c>
    </row>
    <row r="543" spans="1:27" x14ac:dyDescent="0.3">
      <c r="A543" s="1" t="s">
        <v>2266</v>
      </c>
      <c r="B543">
        <v>542</v>
      </c>
      <c r="C543" s="1" t="s">
        <v>2267</v>
      </c>
      <c r="D543" s="1" t="s">
        <v>1308</v>
      </c>
      <c r="E543" s="1" t="s">
        <v>39</v>
      </c>
      <c r="F543" s="1" t="s">
        <v>1308</v>
      </c>
      <c r="G543" s="1" t="s">
        <v>438</v>
      </c>
      <c r="H543" s="1" t="s">
        <v>48</v>
      </c>
      <c r="I543" s="1" t="s">
        <v>33</v>
      </c>
      <c r="J543" s="1" t="s">
        <v>33</v>
      </c>
      <c r="K543" s="1" t="s">
        <v>34</v>
      </c>
      <c r="L543">
        <v>1</v>
      </c>
      <c r="M543">
        <v>0</v>
      </c>
      <c r="N543">
        <v>0</v>
      </c>
      <c r="O543">
        <v>3</v>
      </c>
      <c r="P543">
        <v>1</v>
      </c>
      <c r="Q543">
        <v>1</v>
      </c>
      <c r="R543">
        <v>0</v>
      </c>
      <c r="S543">
        <v>0</v>
      </c>
      <c r="T543">
        <v>0</v>
      </c>
      <c r="U543" s="1" t="s">
        <v>439</v>
      </c>
      <c r="V543" s="1">
        <v>0</v>
      </c>
      <c r="W543" s="1">
        <f t="shared" si="8"/>
        <v>0</v>
      </c>
      <c r="X543" s="1" t="s">
        <v>439</v>
      </c>
      <c r="Y543">
        <v>1</v>
      </c>
      <c r="Z543">
        <v>0</v>
      </c>
      <c r="AA543">
        <v>3</v>
      </c>
    </row>
    <row r="544" spans="1:27" x14ac:dyDescent="0.3">
      <c r="A544" s="1" t="s">
        <v>2268</v>
      </c>
      <c r="B544">
        <v>543</v>
      </c>
      <c r="C544" s="1" t="s">
        <v>2269</v>
      </c>
      <c r="D544" s="1" t="s">
        <v>444</v>
      </c>
      <c r="E544" s="1" t="s">
        <v>41</v>
      </c>
      <c r="F544" s="1" t="s">
        <v>1311</v>
      </c>
      <c r="G544" s="1" t="s">
        <v>444</v>
      </c>
      <c r="H544" s="1" t="s">
        <v>55</v>
      </c>
      <c r="I544" s="1" t="s">
        <v>33</v>
      </c>
      <c r="J544" s="1" t="s">
        <v>33</v>
      </c>
      <c r="K544" s="1" t="s">
        <v>34</v>
      </c>
      <c r="L544">
        <v>2</v>
      </c>
      <c r="M544">
        <v>0</v>
      </c>
      <c r="N544">
        <v>0</v>
      </c>
      <c r="O544">
        <v>4</v>
      </c>
      <c r="P544">
        <v>2</v>
      </c>
      <c r="Q544">
        <v>1</v>
      </c>
      <c r="R544">
        <v>0</v>
      </c>
      <c r="S544">
        <v>0</v>
      </c>
      <c r="T544">
        <v>0</v>
      </c>
      <c r="U544" s="1" t="s">
        <v>1734</v>
      </c>
      <c r="V544" s="1">
        <v>0</v>
      </c>
      <c r="W544" s="1">
        <f t="shared" si="8"/>
        <v>0</v>
      </c>
      <c r="X544" s="1" t="s">
        <v>1734</v>
      </c>
      <c r="Y544">
        <v>1</v>
      </c>
      <c r="Z544">
        <v>0</v>
      </c>
      <c r="AA544">
        <v>4</v>
      </c>
    </row>
    <row r="545" spans="1:27" x14ac:dyDescent="0.3">
      <c r="A545" s="1" t="s">
        <v>2270</v>
      </c>
      <c r="B545">
        <v>544</v>
      </c>
      <c r="C545" s="1" t="s">
        <v>2271</v>
      </c>
      <c r="D545" s="1" t="s">
        <v>2272</v>
      </c>
      <c r="E545" s="1" t="s">
        <v>32</v>
      </c>
      <c r="F545" s="1" t="s">
        <v>1314</v>
      </c>
      <c r="G545" s="1" t="s">
        <v>448</v>
      </c>
      <c r="H545" s="1" t="s">
        <v>63</v>
      </c>
      <c r="I545" s="1" t="s">
        <v>56</v>
      </c>
      <c r="J545" s="1" t="s">
        <v>33</v>
      </c>
      <c r="K545" s="1" t="s">
        <v>34</v>
      </c>
      <c r="L545">
        <v>2</v>
      </c>
      <c r="M545">
        <v>1</v>
      </c>
      <c r="N545">
        <v>0</v>
      </c>
      <c r="O545">
        <v>5</v>
      </c>
      <c r="P545">
        <v>3</v>
      </c>
      <c r="Q545">
        <v>0</v>
      </c>
      <c r="R545">
        <v>1</v>
      </c>
      <c r="S545">
        <v>0</v>
      </c>
      <c r="T545">
        <v>0</v>
      </c>
      <c r="U545" s="1" t="s">
        <v>378</v>
      </c>
      <c r="V545" s="1">
        <v>0</v>
      </c>
      <c r="W545" s="1">
        <f t="shared" si="8"/>
        <v>0</v>
      </c>
      <c r="X545" s="1" t="s">
        <v>378</v>
      </c>
      <c r="Y545">
        <v>1</v>
      </c>
      <c r="Z545">
        <v>0</v>
      </c>
      <c r="AA545">
        <v>5</v>
      </c>
    </row>
    <row r="546" spans="1:27" x14ac:dyDescent="0.3">
      <c r="A546" s="1" t="s">
        <v>2273</v>
      </c>
      <c r="B546">
        <v>545</v>
      </c>
      <c r="C546" s="1" t="s">
        <v>2274</v>
      </c>
      <c r="D546" s="1" t="s">
        <v>453</v>
      </c>
      <c r="E546" s="1" t="s">
        <v>29</v>
      </c>
      <c r="F546" s="1" t="s">
        <v>453</v>
      </c>
      <c r="G546" s="1" t="s">
        <v>453</v>
      </c>
      <c r="H546" s="1" t="s">
        <v>74</v>
      </c>
      <c r="I546" s="1" t="s">
        <v>64</v>
      </c>
      <c r="J546" s="1" t="s">
        <v>41</v>
      </c>
      <c r="K546" s="1" t="s">
        <v>2275</v>
      </c>
      <c r="L546">
        <v>2</v>
      </c>
      <c r="M546">
        <v>0</v>
      </c>
      <c r="N546">
        <v>0</v>
      </c>
      <c r="O546">
        <v>6</v>
      </c>
      <c r="P546">
        <v>2</v>
      </c>
      <c r="Q546">
        <v>0</v>
      </c>
      <c r="R546">
        <v>0</v>
      </c>
      <c r="S546">
        <v>0</v>
      </c>
      <c r="T546">
        <v>0</v>
      </c>
      <c r="U546" s="1" t="s">
        <v>2276</v>
      </c>
      <c r="V546" s="1" t="s">
        <v>792</v>
      </c>
      <c r="W546" s="1">
        <f t="shared" si="8"/>
        <v>20.34</v>
      </c>
      <c r="X546" s="1" t="s">
        <v>456</v>
      </c>
      <c r="Y546">
        <v>1</v>
      </c>
      <c r="Z546">
        <v>0</v>
      </c>
      <c r="AA546">
        <v>6</v>
      </c>
    </row>
    <row r="547" spans="1:27" x14ac:dyDescent="0.3">
      <c r="A547" s="1" t="s">
        <v>2277</v>
      </c>
      <c r="B547">
        <v>546</v>
      </c>
      <c r="C547" s="1" t="s">
        <v>2278</v>
      </c>
      <c r="D547" s="1" t="s">
        <v>2279</v>
      </c>
      <c r="E547" s="1" t="s">
        <v>39</v>
      </c>
      <c r="F547" s="1" t="s">
        <v>573</v>
      </c>
      <c r="G547" s="1" t="s">
        <v>460</v>
      </c>
      <c r="H547" s="1" t="s">
        <v>29</v>
      </c>
      <c r="I547" s="1" t="s">
        <v>64</v>
      </c>
      <c r="J547" s="1" t="s">
        <v>32</v>
      </c>
      <c r="K547" s="1" t="s">
        <v>461</v>
      </c>
      <c r="L547">
        <v>3</v>
      </c>
      <c r="M547">
        <v>2</v>
      </c>
      <c r="N547">
        <v>0</v>
      </c>
      <c r="O547">
        <v>1</v>
      </c>
      <c r="P547">
        <v>5</v>
      </c>
      <c r="Q547">
        <v>0</v>
      </c>
      <c r="R547">
        <v>0</v>
      </c>
      <c r="S547">
        <v>0</v>
      </c>
      <c r="T547">
        <v>0</v>
      </c>
      <c r="U547" s="1" t="s">
        <v>462</v>
      </c>
      <c r="V547" s="1" t="s">
        <v>177</v>
      </c>
      <c r="W547" s="1">
        <f t="shared" si="8"/>
        <v>61.02</v>
      </c>
      <c r="X547" s="1" t="s">
        <v>463</v>
      </c>
      <c r="Y547">
        <v>1</v>
      </c>
      <c r="Z547">
        <v>0</v>
      </c>
      <c r="AA547">
        <v>7</v>
      </c>
    </row>
    <row r="548" spans="1:27" x14ac:dyDescent="0.3">
      <c r="A548" s="1" t="s">
        <v>2280</v>
      </c>
      <c r="B548">
        <v>547</v>
      </c>
      <c r="C548" s="1" t="s">
        <v>2281</v>
      </c>
      <c r="D548" s="1" t="s">
        <v>2282</v>
      </c>
      <c r="E548" s="1" t="s">
        <v>41</v>
      </c>
      <c r="F548" s="1" t="s">
        <v>342</v>
      </c>
      <c r="G548" s="1" t="s">
        <v>467</v>
      </c>
      <c r="H548" s="1" t="s">
        <v>32</v>
      </c>
      <c r="I548" s="1" t="s">
        <v>32</v>
      </c>
      <c r="J548" s="1" t="s">
        <v>32</v>
      </c>
      <c r="K548" s="1" t="s">
        <v>359</v>
      </c>
      <c r="L548">
        <v>3</v>
      </c>
      <c r="M548">
        <v>0</v>
      </c>
      <c r="N548">
        <v>0</v>
      </c>
      <c r="O548">
        <v>2</v>
      </c>
      <c r="P548">
        <v>3</v>
      </c>
      <c r="Q548">
        <v>0</v>
      </c>
      <c r="R548">
        <v>0</v>
      </c>
      <c r="S548">
        <v>1</v>
      </c>
      <c r="T548">
        <v>1</v>
      </c>
      <c r="U548" s="1" t="s">
        <v>360</v>
      </c>
      <c r="V548" s="1" t="s">
        <v>87</v>
      </c>
      <c r="W548" s="1">
        <f t="shared" si="8"/>
        <v>274.58999999999997</v>
      </c>
      <c r="X548" s="1" t="s">
        <v>468</v>
      </c>
      <c r="Y548">
        <v>1</v>
      </c>
      <c r="Z548">
        <v>1</v>
      </c>
      <c r="AA548">
        <v>8</v>
      </c>
    </row>
    <row r="549" spans="1:27" x14ac:dyDescent="0.3">
      <c r="A549" s="1" t="s">
        <v>2283</v>
      </c>
      <c r="B549">
        <v>548</v>
      </c>
      <c r="C549" s="1" t="s">
        <v>2284</v>
      </c>
      <c r="D549" s="1" t="s">
        <v>2285</v>
      </c>
      <c r="E549" s="1" t="s">
        <v>32</v>
      </c>
      <c r="F549" s="1" t="s">
        <v>1326</v>
      </c>
      <c r="G549" s="1" t="s">
        <v>472</v>
      </c>
      <c r="H549" s="1" t="s">
        <v>41</v>
      </c>
      <c r="I549" s="1" t="s">
        <v>32</v>
      </c>
      <c r="J549" s="1" t="s">
        <v>74</v>
      </c>
      <c r="K549" s="1" t="s">
        <v>404</v>
      </c>
      <c r="L549">
        <v>3</v>
      </c>
      <c r="M549">
        <v>1</v>
      </c>
      <c r="N549">
        <v>0</v>
      </c>
      <c r="O549">
        <v>3</v>
      </c>
      <c r="P549">
        <v>4</v>
      </c>
      <c r="Q549">
        <v>0</v>
      </c>
      <c r="R549">
        <v>0</v>
      </c>
      <c r="S549">
        <v>1</v>
      </c>
      <c r="T549">
        <v>1</v>
      </c>
      <c r="U549" s="1" t="s">
        <v>405</v>
      </c>
      <c r="V549" s="1" t="s">
        <v>96</v>
      </c>
      <c r="W549" s="1">
        <f t="shared" si="8"/>
        <v>229.39</v>
      </c>
      <c r="X549" s="1" t="s">
        <v>323</v>
      </c>
      <c r="Y549">
        <v>1</v>
      </c>
      <c r="Z549">
        <v>1</v>
      </c>
      <c r="AA549">
        <v>9</v>
      </c>
    </row>
    <row r="550" spans="1:27" x14ac:dyDescent="0.3">
      <c r="A550" s="1" t="s">
        <v>2286</v>
      </c>
      <c r="B550">
        <v>549</v>
      </c>
      <c r="C550" s="1" t="s">
        <v>2287</v>
      </c>
      <c r="D550" s="1" t="s">
        <v>2288</v>
      </c>
      <c r="E550" s="1" t="s">
        <v>29</v>
      </c>
      <c r="F550" s="1" t="s">
        <v>1329</v>
      </c>
      <c r="G550" s="1" t="s">
        <v>480</v>
      </c>
      <c r="H550" s="1" t="s">
        <v>48</v>
      </c>
      <c r="I550" s="1" t="s">
        <v>32</v>
      </c>
      <c r="J550" s="1" t="s">
        <v>29</v>
      </c>
      <c r="K550" s="1" t="s">
        <v>1752</v>
      </c>
      <c r="L550">
        <v>3</v>
      </c>
      <c r="M550">
        <v>0</v>
      </c>
      <c r="N550">
        <v>0</v>
      </c>
      <c r="O550">
        <v>4</v>
      </c>
      <c r="P550">
        <v>3</v>
      </c>
      <c r="Q550">
        <v>0</v>
      </c>
      <c r="R550">
        <v>0</v>
      </c>
      <c r="S550">
        <v>1</v>
      </c>
      <c r="T550">
        <v>1</v>
      </c>
      <c r="U550" s="1" t="s">
        <v>1752</v>
      </c>
      <c r="V550" s="1" t="s">
        <v>104</v>
      </c>
      <c r="W550" s="1">
        <f t="shared" si="8"/>
        <v>76.84</v>
      </c>
      <c r="X550" s="1" t="s">
        <v>1753</v>
      </c>
      <c r="Y550">
        <v>1</v>
      </c>
      <c r="Z550">
        <v>1</v>
      </c>
      <c r="AA550">
        <v>10</v>
      </c>
    </row>
    <row r="551" spans="1:27" x14ac:dyDescent="0.3">
      <c r="A551" s="1" t="s">
        <v>2289</v>
      </c>
      <c r="B551">
        <v>550</v>
      </c>
      <c r="C551" s="1" t="s">
        <v>2290</v>
      </c>
      <c r="D551" s="1" t="s">
        <v>2291</v>
      </c>
      <c r="E551" s="1" t="s">
        <v>39</v>
      </c>
      <c r="F551" s="1" t="s">
        <v>1262</v>
      </c>
      <c r="G551" s="1" t="s">
        <v>39</v>
      </c>
      <c r="H551" s="1" t="s">
        <v>55</v>
      </c>
      <c r="I551" s="1" t="s">
        <v>32</v>
      </c>
      <c r="J551" s="1" t="s">
        <v>75</v>
      </c>
      <c r="K551" s="1" t="s">
        <v>485</v>
      </c>
      <c r="L551">
        <v>1</v>
      </c>
      <c r="M551">
        <v>0</v>
      </c>
      <c r="N551">
        <v>0</v>
      </c>
      <c r="O551">
        <v>5</v>
      </c>
      <c r="P551">
        <v>1</v>
      </c>
      <c r="Q551">
        <v>0</v>
      </c>
      <c r="R551">
        <v>0</v>
      </c>
      <c r="S551">
        <v>1</v>
      </c>
      <c r="T551">
        <v>1</v>
      </c>
      <c r="U551" s="1" t="s">
        <v>486</v>
      </c>
      <c r="V551" s="1" t="s">
        <v>111</v>
      </c>
      <c r="W551" s="1">
        <f t="shared" si="8"/>
        <v>80.229999999999905</v>
      </c>
      <c r="X551" s="1" t="s">
        <v>487</v>
      </c>
      <c r="Y551">
        <v>1</v>
      </c>
      <c r="Z551">
        <v>1</v>
      </c>
      <c r="AA551">
        <v>11</v>
      </c>
    </row>
    <row r="552" spans="1:27" x14ac:dyDescent="0.3">
      <c r="A552" s="1" t="s">
        <v>2292</v>
      </c>
      <c r="B552">
        <v>551</v>
      </c>
      <c r="C552" s="1" t="s">
        <v>2293</v>
      </c>
      <c r="D552" s="1" t="s">
        <v>1339</v>
      </c>
      <c r="E552" s="1" t="s">
        <v>41</v>
      </c>
      <c r="F552" s="1" t="s">
        <v>1339</v>
      </c>
      <c r="G552" s="1" t="s">
        <v>492</v>
      </c>
      <c r="H552" s="1" t="s">
        <v>63</v>
      </c>
      <c r="I552" s="1" t="s">
        <v>32</v>
      </c>
      <c r="J552" s="1" t="s">
        <v>41</v>
      </c>
      <c r="K552" s="1" t="s">
        <v>343</v>
      </c>
      <c r="L552">
        <v>1</v>
      </c>
      <c r="M552">
        <v>0</v>
      </c>
      <c r="N552">
        <v>0</v>
      </c>
      <c r="O552">
        <v>6</v>
      </c>
      <c r="P552">
        <v>1</v>
      </c>
      <c r="Q552">
        <v>0</v>
      </c>
      <c r="R552">
        <v>0</v>
      </c>
      <c r="S552">
        <v>1</v>
      </c>
      <c r="T552">
        <v>1</v>
      </c>
      <c r="U552" s="1" t="s">
        <v>344</v>
      </c>
      <c r="V552" s="1" t="s">
        <v>345</v>
      </c>
      <c r="W552" s="1">
        <f t="shared" si="8"/>
        <v>265.32</v>
      </c>
      <c r="X552" s="1" t="s">
        <v>346</v>
      </c>
      <c r="Y552">
        <v>1</v>
      </c>
      <c r="Z552">
        <v>1</v>
      </c>
      <c r="AA552">
        <v>12</v>
      </c>
    </row>
    <row r="553" spans="1:27" x14ac:dyDescent="0.3">
      <c r="A553" s="1" t="s">
        <v>2294</v>
      </c>
      <c r="B553">
        <v>552</v>
      </c>
      <c r="C553" s="1" t="s">
        <v>2295</v>
      </c>
      <c r="D553" s="1" t="s">
        <v>2296</v>
      </c>
      <c r="E553" s="1" t="s">
        <v>32</v>
      </c>
      <c r="F553" s="1" t="s">
        <v>1344</v>
      </c>
      <c r="G553" s="1" t="s">
        <v>495</v>
      </c>
      <c r="H553" s="1" t="s">
        <v>74</v>
      </c>
      <c r="I553" s="1" t="s">
        <v>32</v>
      </c>
      <c r="J553" s="1" t="s">
        <v>32</v>
      </c>
      <c r="K553" s="1" t="s">
        <v>352</v>
      </c>
      <c r="L553">
        <v>1</v>
      </c>
      <c r="M553">
        <v>2</v>
      </c>
      <c r="N553">
        <v>1</v>
      </c>
      <c r="O553">
        <v>1</v>
      </c>
      <c r="P553">
        <v>4</v>
      </c>
      <c r="Q553">
        <v>0</v>
      </c>
      <c r="R553">
        <v>0</v>
      </c>
      <c r="S553">
        <v>1</v>
      </c>
      <c r="T553">
        <v>1</v>
      </c>
      <c r="U553" s="1" t="s">
        <v>352</v>
      </c>
      <c r="V553" s="1" t="s">
        <v>353</v>
      </c>
      <c r="W553" s="1">
        <f t="shared" si="8"/>
        <v>42.71</v>
      </c>
      <c r="X553" s="1" t="s">
        <v>354</v>
      </c>
      <c r="Y553">
        <v>1</v>
      </c>
      <c r="Z553">
        <v>1</v>
      </c>
      <c r="AA553">
        <v>13</v>
      </c>
    </row>
    <row r="554" spans="1:27" x14ac:dyDescent="0.3">
      <c r="A554" s="1" t="s">
        <v>2297</v>
      </c>
      <c r="B554">
        <v>553</v>
      </c>
      <c r="C554" s="1" t="s">
        <v>2298</v>
      </c>
      <c r="D554" s="1" t="s">
        <v>2299</v>
      </c>
      <c r="E554" s="1" t="s">
        <v>29</v>
      </c>
      <c r="F554" s="1" t="s">
        <v>382</v>
      </c>
      <c r="G554" s="1" t="s">
        <v>502</v>
      </c>
      <c r="H554" s="1" t="s">
        <v>29</v>
      </c>
      <c r="I554" s="1" t="s">
        <v>32</v>
      </c>
      <c r="J554" s="1" t="s">
        <v>74</v>
      </c>
      <c r="K554" s="1" t="s">
        <v>359</v>
      </c>
      <c r="L554">
        <v>2</v>
      </c>
      <c r="M554">
        <v>0</v>
      </c>
      <c r="N554">
        <v>0</v>
      </c>
      <c r="O554">
        <v>2</v>
      </c>
      <c r="P554">
        <v>2</v>
      </c>
      <c r="Q554">
        <v>0</v>
      </c>
      <c r="R554">
        <v>0</v>
      </c>
      <c r="S554">
        <v>1</v>
      </c>
      <c r="T554">
        <v>1</v>
      </c>
      <c r="U554" s="1" t="s">
        <v>360</v>
      </c>
      <c r="V554" s="1" t="s">
        <v>288</v>
      </c>
      <c r="W554" s="1">
        <f t="shared" si="8"/>
        <v>301.70999999999998</v>
      </c>
      <c r="X554" s="1" t="s">
        <v>361</v>
      </c>
      <c r="Y554">
        <v>1</v>
      </c>
      <c r="Z554">
        <v>1</v>
      </c>
      <c r="AA554">
        <v>14</v>
      </c>
    </row>
    <row r="555" spans="1:27" x14ac:dyDescent="0.3">
      <c r="A555" s="1" t="s">
        <v>2300</v>
      </c>
      <c r="B555">
        <v>554</v>
      </c>
      <c r="C555" s="1" t="s">
        <v>2301</v>
      </c>
      <c r="D555" s="1" t="s">
        <v>2302</v>
      </c>
      <c r="E555" s="1" t="s">
        <v>39</v>
      </c>
      <c r="F555" s="1" t="s">
        <v>1350</v>
      </c>
      <c r="G555" s="1" t="s">
        <v>506</v>
      </c>
      <c r="H555" s="1" t="s">
        <v>32</v>
      </c>
      <c r="I555" s="1" t="s">
        <v>32</v>
      </c>
      <c r="J555" s="1" t="s">
        <v>29</v>
      </c>
      <c r="K555" s="1" t="s">
        <v>631</v>
      </c>
      <c r="L555">
        <v>2</v>
      </c>
      <c r="M555">
        <v>0</v>
      </c>
      <c r="N555">
        <v>0</v>
      </c>
      <c r="O555">
        <v>3</v>
      </c>
      <c r="P555">
        <v>2</v>
      </c>
      <c r="Q555">
        <v>0</v>
      </c>
      <c r="R555">
        <v>0</v>
      </c>
      <c r="S555">
        <v>1</v>
      </c>
      <c r="T555">
        <v>1</v>
      </c>
      <c r="U555" s="1" t="s">
        <v>632</v>
      </c>
      <c r="V555" s="1" t="s">
        <v>144</v>
      </c>
      <c r="W555" s="1">
        <f t="shared" si="8"/>
        <v>202.26999999999899</v>
      </c>
      <c r="X555" s="1" t="s">
        <v>510</v>
      </c>
      <c r="Y555">
        <v>1</v>
      </c>
      <c r="Z555">
        <v>1</v>
      </c>
      <c r="AA555">
        <v>15</v>
      </c>
    </row>
    <row r="556" spans="1:27" x14ac:dyDescent="0.3">
      <c r="A556" s="1" t="s">
        <v>2303</v>
      </c>
      <c r="B556">
        <v>555</v>
      </c>
      <c r="C556" s="1" t="s">
        <v>2304</v>
      </c>
      <c r="D556" s="1" t="s">
        <v>1354</v>
      </c>
      <c r="E556" s="1" t="s">
        <v>41</v>
      </c>
      <c r="F556" s="1" t="s">
        <v>1354</v>
      </c>
      <c r="G556" s="1" t="s">
        <v>513</v>
      </c>
      <c r="H556" s="1" t="s">
        <v>41</v>
      </c>
      <c r="I556" s="1" t="s">
        <v>32</v>
      </c>
      <c r="J556" s="1" t="s">
        <v>75</v>
      </c>
      <c r="K556" s="1" t="s">
        <v>514</v>
      </c>
      <c r="L556">
        <v>2</v>
      </c>
      <c r="M556">
        <v>0</v>
      </c>
      <c r="N556">
        <v>0</v>
      </c>
      <c r="O556">
        <v>4</v>
      </c>
      <c r="P556">
        <v>2</v>
      </c>
      <c r="Q556">
        <v>0</v>
      </c>
      <c r="R556">
        <v>0</v>
      </c>
      <c r="S556">
        <v>1</v>
      </c>
      <c r="T556">
        <v>1</v>
      </c>
      <c r="U556" s="1" t="s">
        <v>514</v>
      </c>
      <c r="V556" s="1" t="s">
        <v>152</v>
      </c>
      <c r="W556" s="1">
        <f t="shared" si="8"/>
        <v>63.28</v>
      </c>
      <c r="X556" s="1" t="s">
        <v>515</v>
      </c>
      <c r="Y556">
        <v>1</v>
      </c>
      <c r="Z556">
        <v>1</v>
      </c>
      <c r="AA556">
        <v>16</v>
      </c>
    </row>
    <row r="557" spans="1:27" x14ac:dyDescent="0.3">
      <c r="A557" s="1" t="s">
        <v>2305</v>
      </c>
      <c r="B557">
        <v>556</v>
      </c>
      <c r="C557" s="1" t="s">
        <v>2306</v>
      </c>
      <c r="D557" s="1" t="s">
        <v>48</v>
      </c>
      <c r="E557" s="1" t="s">
        <v>32</v>
      </c>
      <c r="F557" s="1" t="s">
        <v>48</v>
      </c>
      <c r="G557" s="1" t="s">
        <v>48</v>
      </c>
      <c r="H557" s="1" t="s">
        <v>48</v>
      </c>
      <c r="I557" s="1" t="s">
        <v>32</v>
      </c>
      <c r="J557" s="1" t="s">
        <v>41</v>
      </c>
      <c r="K557" s="1" t="s">
        <v>376</v>
      </c>
      <c r="L557">
        <v>3</v>
      </c>
      <c r="M557">
        <v>1</v>
      </c>
      <c r="N557">
        <v>0</v>
      </c>
      <c r="O557">
        <v>5</v>
      </c>
      <c r="P557">
        <v>4</v>
      </c>
      <c r="Q557">
        <v>0</v>
      </c>
      <c r="R557">
        <v>0</v>
      </c>
      <c r="S557">
        <v>1</v>
      </c>
      <c r="T557">
        <v>1</v>
      </c>
      <c r="U557" s="1" t="s">
        <v>377</v>
      </c>
      <c r="V557" s="1" t="s">
        <v>161</v>
      </c>
      <c r="W557" s="1">
        <f t="shared" si="8"/>
        <v>66.67</v>
      </c>
      <c r="X557" s="1" t="s">
        <v>378</v>
      </c>
      <c r="Y557">
        <v>1</v>
      </c>
      <c r="Z557">
        <v>1</v>
      </c>
      <c r="AA557">
        <v>17</v>
      </c>
    </row>
    <row r="558" spans="1:27" x14ac:dyDescent="0.3">
      <c r="A558" s="1" t="s">
        <v>2307</v>
      </c>
      <c r="B558">
        <v>557</v>
      </c>
      <c r="C558" s="1" t="s">
        <v>2308</v>
      </c>
      <c r="D558" s="1" t="s">
        <v>2309</v>
      </c>
      <c r="E558" s="1" t="s">
        <v>29</v>
      </c>
      <c r="F558" s="1" t="s">
        <v>1360</v>
      </c>
      <c r="G558" s="1" t="s">
        <v>524</v>
      </c>
      <c r="H558" s="1" t="s">
        <v>55</v>
      </c>
      <c r="I558" s="1" t="s">
        <v>32</v>
      </c>
      <c r="J558" s="1" t="s">
        <v>32</v>
      </c>
      <c r="K558" s="1" t="s">
        <v>383</v>
      </c>
      <c r="L558">
        <v>3</v>
      </c>
      <c r="M558">
        <v>0</v>
      </c>
      <c r="N558">
        <v>0</v>
      </c>
      <c r="O558">
        <v>6</v>
      </c>
      <c r="P558">
        <v>3</v>
      </c>
      <c r="Q558">
        <v>0</v>
      </c>
      <c r="R558">
        <v>0</v>
      </c>
      <c r="S558">
        <v>1</v>
      </c>
      <c r="T558">
        <v>1</v>
      </c>
      <c r="U558" s="1" t="s">
        <v>384</v>
      </c>
      <c r="V558" s="1" t="s">
        <v>385</v>
      </c>
      <c r="W558" s="1">
        <f t="shared" si="8"/>
        <v>251.43</v>
      </c>
      <c r="X558" s="1" t="s">
        <v>310</v>
      </c>
      <c r="Y558">
        <v>1</v>
      </c>
      <c r="Z558">
        <v>1</v>
      </c>
      <c r="AA558">
        <v>18</v>
      </c>
    </row>
    <row r="559" spans="1:27" x14ac:dyDescent="0.3">
      <c r="A559" s="1" t="s">
        <v>2310</v>
      </c>
      <c r="B559">
        <v>558</v>
      </c>
      <c r="C559" s="1" t="s">
        <v>2311</v>
      </c>
      <c r="D559" s="1" t="s">
        <v>2312</v>
      </c>
      <c r="E559" s="1" t="s">
        <v>39</v>
      </c>
      <c r="F559" s="1" t="s">
        <v>1363</v>
      </c>
      <c r="G559" s="1" t="s">
        <v>529</v>
      </c>
      <c r="H559" s="1" t="s">
        <v>63</v>
      </c>
      <c r="I559" s="1" t="s">
        <v>32</v>
      </c>
      <c r="J559" s="1" t="s">
        <v>74</v>
      </c>
      <c r="K559" s="1" t="s">
        <v>389</v>
      </c>
      <c r="L559">
        <v>3</v>
      </c>
      <c r="M559">
        <v>2</v>
      </c>
      <c r="N559">
        <v>0</v>
      </c>
      <c r="O559">
        <v>1</v>
      </c>
      <c r="P559">
        <v>5</v>
      </c>
      <c r="Q559">
        <v>0</v>
      </c>
      <c r="R559">
        <v>0</v>
      </c>
      <c r="S559">
        <v>1</v>
      </c>
      <c r="T559">
        <v>1</v>
      </c>
      <c r="U559" s="1" t="s">
        <v>389</v>
      </c>
      <c r="V559" s="1" t="s">
        <v>177</v>
      </c>
      <c r="W559" s="1">
        <f t="shared" si="8"/>
        <v>61.02</v>
      </c>
      <c r="X559" s="1" t="s">
        <v>390</v>
      </c>
      <c r="Y559">
        <v>1</v>
      </c>
      <c r="Z559">
        <v>1</v>
      </c>
      <c r="AA559">
        <v>19</v>
      </c>
    </row>
    <row r="560" spans="1:27" x14ac:dyDescent="0.3">
      <c r="A560" s="1" t="s">
        <v>2313</v>
      </c>
      <c r="B560">
        <v>559</v>
      </c>
      <c r="C560" s="1" t="s">
        <v>2314</v>
      </c>
      <c r="D560" s="1" t="s">
        <v>2315</v>
      </c>
      <c r="E560" s="1" t="s">
        <v>41</v>
      </c>
      <c r="F560" s="1" t="s">
        <v>1367</v>
      </c>
      <c r="G560" s="1" t="s">
        <v>535</v>
      </c>
      <c r="H560" s="1" t="s">
        <v>74</v>
      </c>
      <c r="I560" s="1" t="s">
        <v>32</v>
      </c>
      <c r="J560" s="1" t="s">
        <v>29</v>
      </c>
      <c r="K560" s="1" t="s">
        <v>1813</v>
      </c>
      <c r="L560">
        <v>3</v>
      </c>
      <c r="M560">
        <v>0</v>
      </c>
      <c r="N560">
        <v>0</v>
      </c>
      <c r="O560">
        <v>2</v>
      </c>
      <c r="P560">
        <v>3</v>
      </c>
      <c r="Q560">
        <v>0</v>
      </c>
      <c r="R560">
        <v>0</v>
      </c>
      <c r="S560">
        <v>1</v>
      </c>
      <c r="T560">
        <v>1</v>
      </c>
      <c r="U560" s="1" t="s">
        <v>1814</v>
      </c>
      <c r="V560" s="1" t="s">
        <v>398</v>
      </c>
      <c r="W560" s="1">
        <f t="shared" si="8"/>
        <v>255.95</v>
      </c>
      <c r="X560" s="1" t="s">
        <v>468</v>
      </c>
      <c r="Y560">
        <v>1</v>
      </c>
      <c r="Z560">
        <v>1</v>
      </c>
      <c r="AA560">
        <v>20</v>
      </c>
    </row>
    <row r="561" spans="1:27" x14ac:dyDescent="0.3">
      <c r="A561" s="1" t="s">
        <v>2316</v>
      </c>
      <c r="B561">
        <v>560</v>
      </c>
      <c r="C561" s="1" t="s">
        <v>2317</v>
      </c>
      <c r="D561" s="1" t="s">
        <v>2318</v>
      </c>
      <c r="E561" s="1" t="s">
        <v>32</v>
      </c>
      <c r="F561" s="1" t="s">
        <v>1371</v>
      </c>
      <c r="G561" s="1" t="s">
        <v>540</v>
      </c>
      <c r="H561" s="1" t="s">
        <v>29</v>
      </c>
      <c r="I561" s="1" t="s">
        <v>32</v>
      </c>
      <c r="J561" s="1" t="s">
        <v>75</v>
      </c>
      <c r="K561" s="1" t="s">
        <v>541</v>
      </c>
      <c r="L561">
        <v>1</v>
      </c>
      <c r="M561">
        <v>1</v>
      </c>
      <c r="N561">
        <v>0</v>
      </c>
      <c r="O561">
        <v>3</v>
      </c>
      <c r="P561">
        <v>2</v>
      </c>
      <c r="Q561">
        <v>0</v>
      </c>
      <c r="R561">
        <v>0</v>
      </c>
      <c r="S561">
        <v>1</v>
      </c>
      <c r="T561">
        <v>1</v>
      </c>
      <c r="U561" s="1" t="s">
        <v>542</v>
      </c>
      <c r="V561" s="1" t="s">
        <v>96</v>
      </c>
      <c r="W561" s="1">
        <f t="shared" si="8"/>
        <v>229.39</v>
      </c>
      <c r="X561" s="1" t="s">
        <v>543</v>
      </c>
      <c r="Y561">
        <v>1</v>
      </c>
      <c r="Z561">
        <v>1</v>
      </c>
      <c r="AA561">
        <v>21</v>
      </c>
    </row>
    <row r="562" spans="1:27" x14ac:dyDescent="0.3">
      <c r="A562" s="1" t="s">
        <v>2319</v>
      </c>
      <c r="B562">
        <v>561</v>
      </c>
      <c r="C562" s="1" t="s">
        <v>2320</v>
      </c>
      <c r="D562" s="1" t="s">
        <v>2321</v>
      </c>
      <c r="E562" s="1" t="s">
        <v>29</v>
      </c>
      <c r="F562" s="1" t="s">
        <v>1375</v>
      </c>
      <c r="G562" s="1" t="s">
        <v>547</v>
      </c>
      <c r="H562" s="1" t="s">
        <v>32</v>
      </c>
      <c r="I562" s="1" t="s">
        <v>33</v>
      </c>
      <c r="J562" s="1" t="s">
        <v>33</v>
      </c>
      <c r="K562" s="1" t="s">
        <v>34</v>
      </c>
      <c r="L562">
        <v>1</v>
      </c>
      <c r="M562">
        <v>0</v>
      </c>
      <c r="N562">
        <v>0</v>
      </c>
      <c r="O562">
        <v>4</v>
      </c>
      <c r="P562">
        <v>1</v>
      </c>
      <c r="Q562">
        <v>1</v>
      </c>
      <c r="R562">
        <v>0</v>
      </c>
      <c r="S562">
        <v>0</v>
      </c>
      <c r="T562">
        <v>0</v>
      </c>
      <c r="U562" s="1" t="s">
        <v>1158</v>
      </c>
      <c r="V562" s="1">
        <v>0</v>
      </c>
      <c r="W562" s="1">
        <f t="shared" si="8"/>
        <v>0</v>
      </c>
      <c r="X562" s="1" t="s">
        <v>1158</v>
      </c>
      <c r="Y562">
        <v>1</v>
      </c>
      <c r="Z562">
        <v>0</v>
      </c>
      <c r="AA562">
        <v>22</v>
      </c>
    </row>
    <row r="563" spans="1:27" x14ac:dyDescent="0.3">
      <c r="A563" s="1" t="s">
        <v>2322</v>
      </c>
      <c r="B563">
        <v>562</v>
      </c>
      <c r="C563" s="1" t="s">
        <v>2323</v>
      </c>
      <c r="D563" s="1" t="s">
        <v>2324</v>
      </c>
      <c r="E563" s="1" t="s">
        <v>39</v>
      </c>
      <c r="F563" s="1" t="s">
        <v>1379</v>
      </c>
      <c r="G563" s="1" t="s">
        <v>551</v>
      </c>
      <c r="H563" s="1" t="s">
        <v>41</v>
      </c>
      <c r="I563" s="1" t="s">
        <v>33</v>
      </c>
      <c r="J563" s="1" t="s">
        <v>33</v>
      </c>
      <c r="K563" s="1" t="s">
        <v>34</v>
      </c>
      <c r="L563">
        <v>1</v>
      </c>
      <c r="M563">
        <v>0</v>
      </c>
      <c r="N563">
        <v>0</v>
      </c>
      <c r="O563">
        <v>5</v>
      </c>
      <c r="P563">
        <v>1</v>
      </c>
      <c r="Q563">
        <v>1</v>
      </c>
      <c r="R563">
        <v>0</v>
      </c>
      <c r="S563">
        <v>0</v>
      </c>
      <c r="T563">
        <v>0</v>
      </c>
      <c r="U563" s="1" t="s">
        <v>416</v>
      </c>
      <c r="V563" s="1">
        <v>0</v>
      </c>
      <c r="W563" s="1">
        <f t="shared" si="8"/>
        <v>0</v>
      </c>
      <c r="X563" s="1" t="s">
        <v>416</v>
      </c>
      <c r="Y563">
        <v>1</v>
      </c>
      <c r="Z563">
        <v>0</v>
      </c>
      <c r="AA563">
        <v>23</v>
      </c>
    </row>
    <row r="564" spans="1:27" x14ac:dyDescent="0.3">
      <c r="A564" s="1" t="s">
        <v>2325</v>
      </c>
      <c r="B564">
        <v>563</v>
      </c>
      <c r="C564" s="1" t="s">
        <v>2326</v>
      </c>
      <c r="D564" s="1" t="s">
        <v>1382</v>
      </c>
      <c r="E564" s="1" t="s">
        <v>41</v>
      </c>
      <c r="F564" s="1" t="s">
        <v>1382</v>
      </c>
      <c r="G564" s="1" t="s">
        <v>555</v>
      </c>
      <c r="H564" s="1" t="s">
        <v>48</v>
      </c>
      <c r="I564" s="1" t="s">
        <v>33</v>
      </c>
      <c r="J564" s="1" t="s">
        <v>33</v>
      </c>
      <c r="K564" s="1" t="s">
        <v>34</v>
      </c>
      <c r="L564">
        <v>2</v>
      </c>
      <c r="M564">
        <v>0</v>
      </c>
      <c r="N564">
        <v>0</v>
      </c>
      <c r="O564">
        <v>6</v>
      </c>
      <c r="P564">
        <v>2</v>
      </c>
      <c r="Q564">
        <v>1</v>
      </c>
      <c r="R564">
        <v>0</v>
      </c>
      <c r="S564">
        <v>0</v>
      </c>
      <c r="T564">
        <v>0</v>
      </c>
      <c r="U564" s="1" t="s">
        <v>556</v>
      </c>
      <c r="V564" s="1">
        <v>0</v>
      </c>
      <c r="W564" s="1">
        <f t="shared" si="8"/>
        <v>0</v>
      </c>
      <c r="X564" s="1" t="s">
        <v>556</v>
      </c>
      <c r="Y564">
        <v>1</v>
      </c>
      <c r="Z564">
        <v>0</v>
      </c>
      <c r="AA564">
        <v>24</v>
      </c>
    </row>
    <row r="565" spans="1:27" x14ac:dyDescent="0.3">
      <c r="A565" s="1" t="s">
        <v>2327</v>
      </c>
      <c r="B565">
        <v>564</v>
      </c>
      <c r="C565" s="1" t="s">
        <v>2328</v>
      </c>
      <c r="D565" s="1" t="s">
        <v>2329</v>
      </c>
      <c r="E565" s="1" t="s">
        <v>32</v>
      </c>
      <c r="F565" s="1" t="s">
        <v>56</v>
      </c>
      <c r="G565" s="1" t="s">
        <v>560</v>
      </c>
      <c r="H565" s="1" t="s">
        <v>55</v>
      </c>
      <c r="I565" s="1" t="s">
        <v>56</v>
      </c>
      <c r="J565" s="1" t="s">
        <v>33</v>
      </c>
      <c r="K565" s="1" t="s">
        <v>34</v>
      </c>
      <c r="L565">
        <v>2</v>
      </c>
      <c r="M565">
        <v>2</v>
      </c>
      <c r="N565">
        <v>1</v>
      </c>
      <c r="O565">
        <v>1</v>
      </c>
      <c r="P565">
        <v>5</v>
      </c>
      <c r="Q565">
        <v>0</v>
      </c>
      <c r="R565">
        <v>1</v>
      </c>
      <c r="S565">
        <v>0</v>
      </c>
      <c r="T565">
        <v>0</v>
      </c>
      <c r="U565" s="1" t="s">
        <v>561</v>
      </c>
      <c r="V565" s="1">
        <v>0</v>
      </c>
      <c r="W565" s="1">
        <f t="shared" si="8"/>
        <v>0</v>
      </c>
      <c r="X565" s="1" t="s">
        <v>561</v>
      </c>
      <c r="Y565">
        <v>1</v>
      </c>
      <c r="Z565">
        <v>0</v>
      </c>
      <c r="AA565">
        <v>25</v>
      </c>
    </row>
    <row r="566" spans="1:27" x14ac:dyDescent="0.3">
      <c r="A566" s="1" t="s">
        <v>2330</v>
      </c>
      <c r="B566">
        <v>565</v>
      </c>
      <c r="C566" s="1" t="s">
        <v>2331</v>
      </c>
      <c r="D566" s="1" t="s">
        <v>2332</v>
      </c>
      <c r="E566" s="1" t="s">
        <v>29</v>
      </c>
      <c r="F566" s="1" t="s">
        <v>1317</v>
      </c>
      <c r="G566" s="1" t="s">
        <v>566</v>
      </c>
      <c r="H566" s="1" t="s">
        <v>63</v>
      </c>
      <c r="I566" s="1" t="s">
        <v>64</v>
      </c>
      <c r="J566" s="1" t="s">
        <v>32</v>
      </c>
      <c r="K566" s="1" t="s">
        <v>567</v>
      </c>
      <c r="L566">
        <v>2</v>
      </c>
      <c r="M566">
        <v>0</v>
      </c>
      <c r="N566">
        <v>0</v>
      </c>
      <c r="O566">
        <v>2</v>
      </c>
      <c r="P566">
        <v>2</v>
      </c>
      <c r="Q566">
        <v>0</v>
      </c>
      <c r="R566">
        <v>0</v>
      </c>
      <c r="S566">
        <v>0</v>
      </c>
      <c r="T566">
        <v>0</v>
      </c>
      <c r="U566" s="1" t="s">
        <v>568</v>
      </c>
      <c r="V566" s="1" t="s">
        <v>219</v>
      </c>
      <c r="W566" s="1">
        <f t="shared" si="8"/>
        <v>206.79</v>
      </c>
      <c r="X566" s="1" t="s">
        <v>569</v>
      </c>
      <c r="Y566">
        <v>1</v>
      </c>
      <c r="Z566">
        <v>0</v>
      </c>
      <c r="AA566">
        <v>26</v>
      </c>
    </row>
    <row r="567" spans="1:27" x14ac:dyDescent="0.3">
      <c r="A567" s="1" t="s">
        <v>2333</v>
      </c>
      <c r="B567">
        <v>566</v>
      </c>
      <c r="C567" s="1" t="s">
        <v>2334</v>
      </c>
      <c r="D567" s="1" t="s">
        <v>2335</v>
      </c>
      <c r="E567" s="1" t="s">
        <v>39</v>
      </c>
      <c r="F567" s="1" t="s">
        <v>64</v>
      </c>
      <c r="G567" s="1" t="s">
        <v>573</v>
      </c>
      <c r="H567" s="1" t="s">
        <v>74</v>
      </c>
      <c r="I567" s="1" t="s">
        <v>64</v>
      </c>
      <c r="J567" s="1" t="s">
        <v>74</v>
      </c>
      <c r="K567" s="1" t="s">
        <v>2336</v>
      </c>
      <c r="L567">
        <v>3</v>
      </c>
      <c r="M567">
        <v>0</v>
      </c>
      <c r="N567">
        <v>0</v>
      </c>
      <c r="O567">
        <v>3</v>
      </c>
      <c r="P567">
        <v>3</v>
      </c>
      <c r="Q567">
        <v>0</v>
      </c>
      <c r="R567">
        <v>0</v>
      </c>
      <c r="S567">
        <v>0</v>
      </c>
      <c r="T567">
        <v>0</v>
      </c>
      <c r="U567" s="1" t="s">
        <v>2337</v>
      </c>
      <c r="V567" s="1" t="s">
        <v>913</v>
      </c>
      <c r="W567" s="1">
        <f t="shared" si="8"/>
        <v>85.43</v>
      </c>
      <c r="X567" s="1" t="s">
        <v>439</v>
      </c>
      <c r="Y567">
        <v>1</v>
      </c>
      <c r="Z567">
        <v>0</v>
      </c>
      <c r="AA567">
        <v>27</v>
      </c>
    </row>
    <row r="568" spans="1:27" x14ac:dyDescent="0.3">
      <c r="A568" s="1" t="s">
        <v>2338</v>
      </c>
      <c r="B568">
        <v>567</v>
      </c>
      <c r="C568" s="1" t="s">
        <v>2339</v>
      </c>
      <c r="D568" s="1" t="s">
        <v>578</v>
      </c>
      <c r="E568" s="1" t="s">
        <v>41</v>
      </c>
      <c r="F568" s="1" t="s">
        <v>578</v>
      </c>
      <c r="G568" s="1" t="s">
        <v>578</v>
      </c>
      <c r="H568" s="1" t="s">
        <v>29</v>
      </c>
      <c r="I568" s="1" t="s">
        <v>32</v>
      </c>
      <c r="J568" s="1" t="s">
        <v>74</v>
      </c>
      <c r="K568" s="1" t="s">
        <v>637</v>
      </c>
      <c r="L568">
        <v>3</v>
      </c>
      <c r="M568">
        <v>0</v>
      </c>
      <c r="N568">
        <v>0</v>
      </c>
      <c r="O568">
        <v>4</v>
      </c>
      <c r="P568">
        <v>3</v>
      </c>
      <c r="Q568">
        <v>0</v>
      </c>
      <c r="R568">
        <v>0</v>
      </c>
      <c r="S568">
        <v>1</v>
      </c>
      <c r="T568">
        <v>1</v>
      </c>
      <c r="U568" s="1" t="s">
        <v>637</v>
      </c>
      <c r="V568" s="1" t="s">
        <v>152</v>
      </c>
      <c r="W568" s="1">
        <f t="shared" si="8"/>
        <v>63.28</v>
      </c>
      <c r="X568" s="1">
        <v>419</v>
      </c>
      <c r="Y568">
        <v>1</v>
      </c>
      <c r="Z568">
        <v>1</v>
      </c>
      <c r="AA568">
        <v>28</v>
      </c>
    </row>
    <row r="569" spans="1:27" x14ac:dyDescent="0.3">
      <c r="A569" s="1" t="s">
        <v>2340</v>
      </c>
      <c r="B569">
        <v>568</v>
      </c>
      <c r="C569" s="1" t="s">
        <v>2341</v>
      </c>
      <c r="D569" s="1" t="s">
        <v>2342</v>
      </c>
      <c r="E569" s="1" t="s">
        <v>32</v>
      </c>
      <c r="F569" s="1" t="s">
        <v>1325</v>
      </c>
      <c r="G569" s="1" t="s">
        <v>581</v>
      </c>
      <c r="H569" s="1" t="s">
        <v>32</v>
      </c>
      <c r="I569" s="1" t="s">
        <v>32</v>
      </c>
      <c r="J569" s="1" t="s">
        <v>29</v>
      </c>
      <c r="K569" s="1" t="s">
        <v>376</v>
      </c>
      <c r="L569">
        <v>3</v>
      </c>
      <c r="M569">
        <v>1</v>
      </c>
      <c r="N569">
        <v>0</v>
      </c>
      <c r="O569">
        <v>5</v>
      </c>
      <c r="P569">
        <v>4</v>
      </c>
      <c r="Q569">
        <v>0</v>
      </c>
      <c r="R569">
        <v>0</v>
      </c>
      <c r="S569">
        <v>1</v>
      </c>
      <c r="T569">
        <v>1</v>
      </c>
      <c r="U569" s="1" t="s">
        <v>377</v>
      </c>
      <c r="V569" s="1" t="s">
        <v>161</v>
      </c>
      <c r="W569" s="1">
        <f t="shared" si="8"/>
        <v>66.67</v>
      </c>
      <c r="X569" s="1" t="s">
        <v>378</v>
      </c>
      <c r="Y569">
        <v>1</v>
      </c>
      <c r="Z569">
        <v>1</v>
      </c>
      <c r="AA569">
        <v>29</v>
      </c>
    </row>
    <row r="570" spans="1:27" x14ac:dyDescent="0.3">
      <c r="A570" s="1" t="s">
        <v>2343</v>
      </c>
      <c r="B570">
        <v>569</v>
      </c>
      <c r="C570" s="1" t="s">
        <v>2344</v>
      </c>
      <c r="D570" s="1" t="s">
        <v>2345</v>
      </c>
      <c r="E570" s="1" t="s">
        <v>29</v>
      </c>
      <c r="F570" s="1" t="s">
        <v>1407</v>
      </c>
      <c r="G570" s="1" t="s">
        <v>585</v>
      </c>
      <c r="H570" s="1" t="s">
        <v>41</v>
      </c>
      <c r="I570" s="1" t="s">
        <v>32</v>
      </c>
      <c r="J570" s="1" t="s">
        <v>75</v>
      </c>
      <c r="K570" s="1" t="s">
        <v>525</v>
      </c>
      <c r="L570">
        <v>3</v>
      </c>
      <c r="M570">
        <v>0</v>
      </c>
      <c r="N570">
        <v>0</v>
      </c>
      <c r="O570">
        <v>6</v>
      </c>
      <c r="P570">
        <v>3</v>
      </c>
      <c r="Q570">
        <v>0</v>
      </c>
      <c r="R570">
        <v>0</v>
      </c>
      <c r="S570">
        <v>1</v>
      </c>
      <c r="T570">
        <v>1</v>
      </c>
      <c r="U570" s="1" t="s">
        <v>526</v>
      </c>
      <c r="V570" s="1" t="s">
        <v>169</v>
      </c>
      <c r="W570" s="1">
        <f t="shared" si="8"/>
        <v>270.07</v>
      </c>
      <c r="X570" s="1" t="s">
        <v>310</v>
      </c>
      <c r="Y570">
        <v>1</v>
      </c>
      <c r="Z570">
        <v>1</v>
      </c>
      <c r="AA570">
        <v>30</v>
      </c>
    </row>
    <row r="571" spans="1:27" x14ac:dyDescent="0.3">
      <c r="A571" s="1" t="s">
        <v>2346</v>
      </c>
      <c r="B571">
        <v>570</v>
      </c>
      <c r="C571" s="1" t="s">
        <v>2347</v>
      </c>
      <c r="D571" s="1" t="s">
        <v>2348</v>
      </c>
      <c r="E571" s="1" t="s">
        <v>39</v>
      </c>
      <c r="F571" s="1" t="s">
        <v>1410</v>
      </c>
      <c r="G571" s="1" t="s">
        <v>591</v>
      </c>
      <c r="H571" s="1" t="s">
        <v>48</v>
      </c>
      <c r="I571" s="1" t="s">
        <v>32</v>
      </c>
      <c r="J571" s="1" t="s">
        <v>41</v>
      </c>
      <c r="K571" s="1" t="s">
        <v>1194</v>
      </c>
      <c r="L571">
        <v>1</v>
      </c>
      <c r="M571">
        <v>2</v>
      </c>
      <c r="N571">
        <v>0</v>
      </c>
      <c r="O571">
        <v>1</v>
      </c>
      <c r="P571">
        <v>3</v>
      </c>
      <c r="Q571">
        <v>0</v>
      </c>
      <c r="R571">
        <v>0</v>
      </c>
      <c r="S571">
        <v>1</v>
      </c>
      <c r="T571">
        <v>1</v>
      </c>
      <c r="U571" s="1" t="s">
        <v>1194</v>
      </c>
      <c r="V571" s="1" t="s">
        <v>177</v>
      </c>
      <c r="W571" s="1">
        <f t="shared" si="8"/>
        <v>61.02</v>
      </c>
      <c r="X571" s="1" t="s">
        <v>1195</v>
      </c>
      <c r="Y571">
        <v>1</v>
      </c>
      <c r="Z571">
        <v>1</v>
      </c>
      <c r="AA571">
        <v>31</v>
      </c>
    </row>
    <row r="572" spans="1:27" x14ac:dyDescent="0.3">
      <c r="A572" s="1" t="s">
        <v>2349</v>
      </c>
      <c r="B572">
        <v>571</v>
      </c>
      <c r="C572" s="1" t="s">
        <v>2350</v>
      </c>
      <c r="D572" s="1" t="s">
        <v>2351</v>
      </c>
      <c r="E572" s="1" t="s">
        <v>41</v>
      </c>
      <c r="F572" s="1" t="s">
        <v>712</v>
      </c>
      <c r="G572" s="1" t="s">
        <v>597</v>
      </c>
      <c r="H572" s="1" t="s">
        <v>55</v>
      </c>
      <c r="I572" s="1" t="s">
        <v>32</v>
      </c>
      <c r="J572" s="1" t="s">
        <v>32</v>
      </c>
      <c r="K572" s="1" t="s">
        <v>359</v>
      </c>
      <c r="L572">
        <v>1</v>
      </c>
      <c r="M572">
        <v>0</v>
      </c>
      <c r="N572">
        <v>0</v>
      </c>
      <c r="O572">
        <v>2</v>
      </c>
      <c r="P572">
        <v>1</v>
      </c>
      <c r="Q572">
        <v>0</v>
      </c>
      <c r="R572">
        <v>0</v>
      </c>
      <c r="S572">
        <v>1</v>
      </c>
      <c r="T572">
        <v>1</v>
      </c>
      <c r="U572" s="1" t="s">
        <v>360</v>
      </c>
      <c r="V572" s="1" t="s">
        <v>87</v>
      </c>
      <c r="W572" s="1">
        <f t="shared" si="8"/>
        <v>274.58999999999997</v>
      </c>
      <c r="X572" s="1" t="s">
        <v>468</v>
      </c>
      <c r="Y572">
        <v>1</v>
      </c>
      <c r="Z572">
        <v>1</v>
      </c>
      <c r="AA572">
        <v>32</v>
      </c>
    </row>
    <row r="573" spans="1:27" x14ac:dyDescent="0.3">
      <c r="A573" s="1" t="s">
        <v>2352</v>
      </c>
      <c r="B573">
        <v>572</v>
      </c>
      <c r="C573" s="1" t="s">
        <v>2353</v>
      </c>
      <c r="D573" s="1" t="s">
        <v>2354</v>
      </c>
      <c r="E573" s="1" t="s">
        <v>32</v>
      </c>
      <c r="F573" s="1" t="s">
        <v>718</v>
      </c>
      <c r="G573" s="1" t="s">
        <v>602</v>
      </c>
      <c r="H573" s="1" t="s">
        <v>63</v>
      </c>
      <c r="I573" s="1" t="s">
        <v>32</v>
      </c>
      <c r="J573" s="1" t="s">
        <v>74</v>
      </c>
      <c r="K573" s="1" t="s">
        <v>473</v>
      </c>
      <c r="L573">
        <v>1</v>
      </c>
      <c r="M573">
        <v>1</v>
      </c>
      <c r="N573">
        <v>0</v>
      </c>
      <c r="O573">
        <v>3</v>
      </c>
      <c r="P573">
        <v>2</v>
      </c>
      <c r="Q573">
        <v>0</v>
      </c>
      <c r="R573">
        <v>0</v>
      </c>
      <c r="S573">
        <v>1</v>
      </c>
      <c r="T573">
        <v>1</v>
      </c>
      <c r="U573" s="1" t="s">
        <v>474</v>
      </c>
      <c r="V573" s="1" t="s">
        <v>475</v>
      </c>
      <c r="W573" s="1">
        <f t="shared" si="8"/>
        <v>221.71</v>
      </c>
      <c r="X573" s="1" t="s">
        <v>323</v>
      </c>
      <c r="Y573">
        <v>1</v>
      </c>
      <c r="Z573">
        <v>1</v>
      </c>
      <c r="AA573">
        <v>33</v>
      </c>
    </row>
    <row r="574" spans="1:27" x14ac:dyDescent="0.3">
      <c r="A574" s="1" t="s">
        <v>2355</v>
      </c>
      <c r="B574">
        <v>573</v>
      </c>
      <c r="C574" s="1" t="s">
        <v>2356</v>
      </c>
      <c r="D574" s="1" t="s">
        <v>2357</v>
      </c>
      <c r="E574" s="1" t="s">
        <v>29</v>
      </c>
      <c r="F574" s="1" t="s">
        <v>29</v>
      </c>
      <c r="G574" s="1" t="s">
        <v>605</v>
      </c>
      <c r="H574" s="1" t="s">
        <v>74</v>
      </c>
      <c r="I574" s="1" t="s">
        <v>32</v>
      </c>
      <c r="J574" s="1" t="s">
        <v>29</v>
      </c>
      <c r="K574" s="1" t="s">
        <v>481</v>
      </c>
      <c r="L574">
        <v>2</v>
      </c>
      <c r="M574">
        <v>0</v>
      </c>
      <c r="N574">
        <v>0</v>
      </c>
      <c r="O574">
        <v>4</v>
      </c>
      <c r="P574">
        <v>2</v>
      </c>
      <c r="Q574">
        <v>0</v>
      </c>
      <c r="R574">
        <v>0</v>
      </c>
      <c r="S574">
        <v>1</v>
      </c>
      <c r="T574">
        <v>1</v>
      </c>
      <c r="U574" s="1" t="s">
        <v>481</v>
      </c>
      <c r="V574" s="1" t="s">
        <v>482</v>
      </c>
      <c r="W574" s="1">
        <f t="shared" si="8"/>
        <v>69.16</v>
      </c>
      <c r="X574" s="1" t="s">
        <v>410</v>
      </c>
      <c r="Y574">
        <v>1</v>
      </c>
      <c r="Z574">
        <v>1</v>
      </c>
      <c r="AA574">
        <v>34</v>
      </c>
    </row>
    <row r="575" spans="1:27" x14ac:dyDescent="0.3">
      <c r="A575" s="1" t="s">
        <v>2358</v>
      </c>
      <c r="B575">
        <v>574</v>
      </c>
      <c r="C575" s="1" t="s">
        <v>2359</v>
      </c>
      <c r="D575" s="1" t="s">
        <v>2360</v>
      </c>
      <c r="E575" s="1" t="s">
        <v>39</v>
      </c>
      <c r="F575" s="1" t="s">
        <v>506</v>
      </c>
      <c r="G575" s="1" t="s">
        <v>610</v>
      </c>
      <c r="H575" s="1" t="s">
        <v>29</v>
      </c>
      <c r="I575" s="1" t="s">
        <v>32</v>
      </c>
      <c r="J575" s="1" t="s">
        <v>75</v>
      </c>
      <c r="K575" s="1" t="s">
        <v>414</v>
      </c>
      <c r="L575">
        <v>2</v>
      </c>
      <c r="M575">
        <v>0</v>
      </c>
      <c r="N575">
        <v>0</v>
      </c>
      <c r="O575">
        <v>5</v>
      </c>
      <c r="P575">
        <v>2</v>
      </c>
      <c r="Q575">
        <v>0</v>
      </c>
      <c r="R575">
        <v>0</v>
      </c>
      <c r="S575">
        <v>1</v>
      </c>
      <c r="T575">
        <v>1</v>
      </c>
      <c r="U575" s="1" t="s">
        <v>415</v>
      </c>
      <c r="V575" s="1" t="s">
        <v>111</v>
      </c>
      <c r="W575" s="1">
        <f t="shared" si="8"/>
        <v>80.229999999999905</v>
      </c>
      <c r="X575" s="1" t="s">
        <v>416</v>
      </c>
      <c r="Y575">
        <v>1</v>
      </c>
      <c r="Z575">
        <v>1</v>
      </c>
      <c r="AA575">
        <v>35</v>
      </c>
    </row>
    <row r="576" spans="1:27" x14ac:dyDescent="0.3">
      <c r="A576" s="1" t="s">
        <v>2361</v>
      </c>
      <c r="B576">
        <v>575</v>
      </c>
      <c r="C576" s="1" t="s">
        <v>2362</v>
      </c>
      <c r="D576" s="1" t="s">
        <v>1433</v>
      </c>
      <c r="E576" s="1" t="s">
        <v>41</v>
      </c>
      <c r="F576" s="1" t="s">
        <v>1433</v>
      </c>
      <c r="G576" s="1" t="s">
        <v>613</v>
      </c>
      <c r="H576" s="1" t="s">
        <v>32</v>
      </c>
      <c r="I576" s="1" t="s">
        <v>32</v>
      </c>
      <c r="J576" s="1" t="s">
        <v>41</v>
      </c>
      <c r="K576" s="1" t="s">
        <v>1825</v>
      </c>
      <c r="L576">
        <v>2</v>
      </c>
      <c r="M576">
        <v>0</v>
      </c>
      <c r="N576">
        <v>0</v>
      </c>
      <c r="O576">
        <v>6</v>
      </c>
      <c r="P576">
        <v>2</v>
      </c>
      <c r="Q576">
        <v>0</v>
      </c>
      <c r="R576">
        <v>0</v>
      </c>
      <c r="S576">
        <v>1</v>
      </c>
      <c r="T576">
        <v>1</v>
      </c>
      <c r="U576" s="1" t="s">
        <v>1826</v>
      </c>
      <c r="V576" s="1" t="s">
        <v>169</v>
      </c>
      <c r="W576" s="1">
        <f t="shared" si="8"/>
        <v>270.07</v>
      </c>
      <c r="X576" s="1" t="s">
        <v>1213</v>
      </c>
      <c r="Y576">
        <v>1</v>
      </c>
      <c r="Z576">
        <v>1</v>
      </c>
      <c r="AA576">
        <v>36</v>
      </c>
    </row>
    <row r="577" spans="1:27" x14ac:dyDescent="0.3">
      <c r="A577" s="1" t="s">
        <v>2363</v>
      </c>
      <c r="B577">
        <v>576</v>
      </c>
      <c r="C577" s="1" t="s">
        <v>2364</v>
      </c>
      <c r="D577" s="1" t="s">
        <v>620</v>
      </c>
      <c r="E577" s="1" t="s">
        <v>32</v>
      </c>
      <c r="F577" s="1" t="s">
        <v>620</v>
      </c>
      <c r="G577" s="1" t="s">
        <v>620</v>
      </c>
      <c r="H577" s="1" t="s">
        <v>41</v>
      </c>
      <c r="I577" s="1" t="s">
        <v>32</v>
      </c>
      <c r="J577" s="1" t="s">
        <v>32</v>
      </c>
      <c r="K577" s="1" t="s">
        <v>496</v>
      </c>
      <c r="L577">
        <v>3</v>
      </c>
      <c r="M577">
        <v>2</v>
      </c>
      <c r="N577">
        <v>1</v>
      </c>
      <c r="O577">
        <v>1</v>
      </c>
      <c r="P577">
        <v>6</v>
      </c>
      <c r="Q577">
        <v>0</v>
      </c>
      <c r="R577">
        <v>0</v>
      </c>
      <c r="S577">
        <v>1</v>
      </c>
      <c r="T577">
        <v>1</v>
      </c>
      <c r="U577" s="1" t="s">
        <v>496</v>
      </c>
      <c r="V577" s="1" t="s">
        <v>127</v>
      </c>
      <c r="W577" s="1">
        <f t="shared" si="8"/>
        <v>47.46</v>
      </c>
      <c r="X577" s="1" t="s">
        <v>497</v>
      </c>
      <c r="Y577">
        <v>1</v>
      </c>
      <c r="Z577">
        <v>1</v>
      </c>
      <c r="AA577">
        <v>37</v>
      </c>
    </row>
    <row r="578" spans="1:27" x14ac:dyDescent="0.3">
      <c r="A578" s="1" t="s">
        <v>2365</v>
      </c>
      <c r="B578">
        <v>577</v>
      </c>
      <c r="C578" s="1" t="s">
        <v>2366</v>
      </c>
      <c r="D578" s="1" t="s">
        <v>1444</v>
      </c>
      <c r="E578" s="1" t="s">
        <v>29</v>
      </c>
      <c r="F578" s="1" t="s">
        <v>1444</v>
      </c>
      <c r="G578" s="1" t="s">
        <v>55</v>
      </c>
      <c r="H578" s="1" t="s">
        <v>48</v>
      </c>
      <c r="I578" s="1" t="s">
        <v>32</v>
      </c>
      <c r="J578" s="1" t="s">
        <v>74</v>
      </c>
      <c r="K578" s="1" t="s">
        <v>359</v>
      </c>
      <c r="L578">
        <v>3</v>
      </c>
      <c r="M578">
        <v>0</v>
      </c>
      <c r="N578">
        <v>0</v>
      </c>
      <c r="O578">
        <v>2</v>
      </c>
      <c r="P578">
        <v>3</v>
      </c>
      <c r="Q578">
        <v>0</v>
      </c>
      <c r="R578">
        <v>0</v>
      </c>
      <c r="S578">
        <v>1</v>
      </c>
      <c r="T578">
        <v>1</v>
      </c>
      <c r="U578" s="1" t="s">
        <v>360</v>
      </c>
      <c r="V578" s="1" t="s">
        <v>288</v>
      </c>
      <c r="W578" s="1">
        <f t="shared" ref="W578:W641" si="9">VALUE(SUBSTITUTE(TRIM(V578),".", ","))</f>
        <v>301.70999999999998</v>
      </c>
      <c r="X578" s="1" t="s">
        <v>361</v>
      </c>
      <c r="Y578">
        <v>1</v>
      </c>
      <c r="Z578">
        <v>1</v>
      </c>
      <c r="AA578">
        <v>38</v>
      </c>
    </row>
    <row r="579" spans="1:27" x14ac:dyDescent="0.3">
      <c r="A579" s="1" t="s">
        <v>2367</v>
      </c>
      <c r="B579">
        <v>578</v>
      </c>
      <c r="C579" s="1" t="s">
        <v>2368</v>
      </c>
      <c r="D579" s="1" t="s">
        <v>630</v>
      </c>
      <c r="E579" s="1" t="s">
        <v>39</v>
      </c>
      <c r="F579" s="1" t="s">
        <v>63</v>
      </c>
      <c r="G579" s="1" t="s">
        <v>630</v>
      </c>
      <c r="H579" s="1" t="s">
        <v>55</v>
      </c>
      <c r="I579" s="1" t="s">
        <v>32</v>
      </c>
      <c r="J579" s="1" t="s">
        <v>29</v>
      </c>
      <c r="K579" s="1" t="s">
        <v>507</v>
      </c>
      <c r="L579">
        <v>3</v>
      </c>
      <c r="M579">
        <v>0</v>
      </c>
      <c r="N579">
        <v>0</v>
      </c>
      <c r="O579">
        <v>3</v>
      </c>
      <c r="P579">
        <v>3</v>
      </c>
      <c r="Q579">
        <v>0</v>
      </c>
      <c r="R579">
        <v>0</v>
      </c>
      <c r="S579">
        <v>1</v>
      </c>
      <c r="T579">
        <v>1</v>
      </c>
      <c r="U579" s="1" t="s">
        <v>508</v>
      </c>
      <c r="V579" s="1" t="s">
        <v>509</v>
      </c>
      <c r="W579" s="1">
        <f t="shared" si="9"/>
        <v>197.85999999999899</v>
      </c>
      <c r="X579" s="1" t="s">
        <v>510</v>
      </c>
      <c r="Y579">
        <v>1</v>
      </c>
      <c r="Z579">
        <v>1</v>
      </c>
      <c r="AA579">
        <v>39</v>
      </c>
    </row>
    <row r="580" spans="1:27" x14ac:dyDescent="0.3">
      <c r="A580" s="1" t="s">
        <v>2369</v>
      </c>
      <c r="B580">
        <v>579</v>
      </c>
      <c r="C580" s="1" t="s">
        <v>2370</v>
      </c>
      <c r="D580" s="1" t="s">
        <v>2371</v>
      </c>
      <c r="E580" s="1" t="s">
        <v>41</v>
      </c>
      <c r="F580" s="1" t="s">
        <v>1452</v>
      </c>
      <c r="G580" s="1" t="s">
        <v>636</v>
      </c>
      <c r="H580" s="1" t="s">
        <v>63</v>
      </c>
      <c r="I580" s="1" t="s">
        <v>32</v>
      </c>
      <c r="J580" s="1" t="s">
        <v>75</v>
      </c>
      <c r="K580" s="1" t="s">
        <v>370</v>
      </c>
      <c r="L580">
        <v>3</v>
      </c>
      <c r="M580">
        <v>0</v>
      </c>
      <c r="N580">
        <v>0</v>
      </c>
      <c r="O580">
        <v>4</v>
      </c>
      <c r="P580">
        <v>3</v>
      </c>
      <c r="Q580">
        <v>0</v>
      </c>
      <c r="R580">
        <v>0</v>
      </c>
      <c r="S580">
        <v>1</v>
      </c>
      <c r="T580">
        <v>1</v>
      </c>
      <c r="U580" s="1" t="s">
        <v>370</v>
      </c>
      <c r="V580" s="1" t="s">
        <v>152</v>
      </c>
      <c r="W580" s="1">
        <f t="shared" si="9"/>
        <v>63.28</v>
      </c>
      <c r="X580" s="1" t="s">
        <v>371</v>
      </c>
      <c r="Y580">
        <v>1</v>
      </c>
      <c r="Z580">
        <v>1</v>
      </c>
      <c r="AA580">
        <v>40</v>
      </c>
    </row>
    <row r="581" spans="1:27" x14ac:dyDescent="0.3">
      <c r="A581" s="1" t="s">
        <v>2372</v>
      </c>
      <c r="B581">
        <v>580</v>
      </c>
      <c r="C581" s="1" t="s">
        <v>2373</v>
      </c>
      <c r="D581" s="1" t="s">
        <v>2374</v>
      </c>
      <c r="E581" s="1" t="s">
        <v>32</v>
      </c>
      <c r="F581" s="1" t="s">
        <v>1457</v>
      </c>
      <c r="G581" s="1" t="s">
        <v>641</v>
      </c>
      <c r="H581" s="1" t="s">
        <v>74</v>
      </c>
      <c r="I581" s="1" t="s">
        <v>32</v>
      </c>
      <c r="J581" s="1" t="s">
        <v>41</v>
      </c>
      <c r="K581" s="1" t="s">
        <v>2375</v>
      </c>
      <c r="L581">
        <v>1</v>
      </c>
      <c r="M581">
        <v>1</v>
      </c>
      <c r="N581">
        <v>0</v>
      </c>
      <c r="O581">
        <v>5</v>
      </c>
      <c r="P581">
        <v>2</v>
      </c>
      <c r="Q581">
        <v>0</v>
      </c>
      <c r="R581">
        <v>0</v>
      </c>
      <c r="S581">
        <v>1</v>
      </c>
      <c r="T581">
        <v>1</v>
      </c>
      <c r="U581" s="1" t="s">
        <v>2376</v>
      </c>
      <c r="V581" s="1" t="s">
        <v>520</v>
      </c>
      <c r="W581" s="1">
        <f t="shared" si="9"/>
        <v>62.26</v>
      </c>
      <c r="X581" s="1" t="s">
        <v>644</v>
      </c>
      <c r="Y581">
        <v>1</v>
      </c>
      <c r="Z581">
        <v>1</v>
      </c>
      <c r="AA581">
        <v>41</v>
      </c>
    </row>
    <row r="582" spans="1:27" x14ac:dyDescent="0.3">
      <c r="A582" s="1" t="s">
        <v>2377</v>
      </c>
      <c r="B582">
        <v>581</v>
      </c>
      <c r="C582" s="1" t="s">
        <v>2378</v>
      </c>
      <c r="D582" s="1" t="s">
        <v>2379</v>
      </c>
      <c r="E582" s="1" t="s">
        <v>29</v>
      </c>
      <c r="F582" s="1" t="s">
        <v>1463</v>
      </c>
      <c r="G582" s="1" t="s">
        <v>647</v>
      </c>
      <c r="H582" s="1" t="s">
        <v>29</v>
      </c>
      <c r="I582" s="1" t="s">
        <v>33</v>
      </c>
      <c r="J582" s="1" t="s">
        <v>33</v>
      </c>
      <c r="K582" s="1" t="s">
        <v>34</v>
      </c>
      <c r="L582">
        <v>1</v>
      </c>
      <c r="M582">
        <v>0</v>
      </c>
      <c r="N582">
        <v>0</v>
      </c>
      <c r="O582">
        <v>6</v>
      </c>
      <c r="P582">
        <v>1</v>
      </c>
      <c r="Q582">
        <v>1</v>
      </c>
      <c r="R582">
        <v>0</v>
      </c>
      <c r="S582">
        <v>0</v>
      </c>
      <c r="T582">
        <v>0</v>
      </c>
      <c r="U582" s="1" t="s">
        <v>648</v>
      </c>
      <c r="V582" s="1">
        <v>0</v>
      </c>
      <c r="W582" s="1">
        <f t="shared" si="9"/>
        <v>0</v>
      </c>
      <c r="X582" s="1" t="s">
        <v>648</v>
      </c>
      <c r="Y582">
        <v>1</v>
      </c>
      <c r="Z582">
        <v>0</v>
      </c>
      <c r="AA582">
        <v>42</v>
      </c>
    </row>
    <row r="583" spans="1:27" x14ac:dyDescent="0.3">
      <c r="A583" s="1" t="s">
        <v>2380</v>
      </c>
      <c r="B583">
        <v>582</v>
      </c>
      <c r="C583" s="1" t="s">
        <v>2381</v>
      </c>
      <c r="D583" s="1" t="s">
        <v>652</v>
      </c>
      <c r="E583" s="1" t="s">
        <v>39</v>
      </c>
      <c r="F583" s="1" t="s">
        <v>1378</v>
      </c>
      <c r="G583" s="1" t="s">
        <v>652</v>
      </c>
      <c r="H583" s="1" t="s">
        <v>32</v>
      </c>
      <c r="I583" s="1" t="s">
        <v>33</v>
      </c>
      <c r="J583" s="1" t="s">
        <v>33</v>
      </c>
      <c r="K583" s="1" t="s">
        <v>34</v>
      </c>
      <c r="L583">
        <v>1</v>
      </c>
      <c r="M583">
        <v>2</v>
      </c>
      <c r="N583">
        <v>0</v>
      </c>
      <c r="O583">
        <v>1</v>
      </c>
      <c r="P583">
        <v>3</v>
      </c>
      <c r="Q583">
        <v>1</v>
      </c>
      <c r="R583">
        <v>0</v>
      </c>
      <c r="S583">
        <v>0</v>
      </c>
      <c r="T583">
        <v>0</v>
      </c>
      <c r="U583" s="1" t="s">
        <v>653</v>
      </c>
      <c r="V583" s="1">
        <v>0</v>
      </c>
      <c r="W583" s="1">
        <f t="shared" si="9"/>
        <v>0</v>
      </c>
      <c r="X583" s="1" t="s">
        <v>653</v>
      </c>
      <c r="Y583">
        <v>1</v>
      </c>
      <c r="Z583">
        <v>0</v>
      </c>
      <c r="AA583">
        <v>43</v>
      </c>
    </row>
    <row r="584" spans="1:27" x14ac:dyDescent="0.3">
      <c r="A584" s="1" t="s">
        <v>2382</v>
      </c>
      <c r="B584">
        <v>583</v>
      </c>
      <c r="C584" s="1" t="s">
        <v>2383</v>
      </c>
      <c r="D584" s="1" t="s">
        <v>2384</v>
      </c>
      <c r="E584" s="1" t="s">
        <v>41</v>
      </c>
      <c r="F584" s="1" t="s">
        <v>555</v>
      </c>
      <c r="G584" s="1" t="s">
        <v>658</v>
      </c>
      <c r="H584" s="1" t="s">
        <v>41</v>
      </c>
      <c r="I584" s="1" t="s">
        <v>33</v>
      </c>
      <c r="J584" s="1" t="s">
        <v>33</v>
      </c>
      <c r="K584" s="1" t="s">
        <v>34</v>
      </c>
      <c r="L584">
        <v>2</v>
      </c>
      <c r="M584">
        <v>0</v>
      </c>
      <c r="N584">
        <v>0</v>
      </c>
      <c r="O584">
        <v>2</v>
      </c>
      <c r="P584">
        <v>2</v>
      </c>
      <c r="Q584">
        <v>1</v>
      </c>
      <c r="R584">
        <v>0</v>
      </c>
      <c r="S584">
        <v>0</v>
      </c>
      <c r="T584">
        <v>0</v>
      </c>
      <c r="U584" s="1" t="s">
        <v>659</v>
      </c>
      <c r="V584" s="1">
        <v>0</v>
      </c>
      <c r="W584" s="1">
        <f t="shared" si="9"/>
        <v>0</v>
      </c>
      <c r="X584" s="1" t="s">
        <v>659</v>
      </c>
      <c r="Y584">
        <v>1</v>
      </c>
      <c r="Z584">
        <v>0</v>
      </c>
      <c r="AA584">
        <v>44</v>
      </c>
    </row>
    <row r="585" spans="1:27" x14ac:dyDescent="0.3">
      <c r="A585" s="1" t="s">
        <v>2385</v>
      </c>
      <c r="B585">
        <v>584</v>
      </c>
      <c r="C585" s="1" t="s">
        <v>2386</v>
      </c>
      <c r="D585" s="1" t="s">
        <v>2387</v>
      </c>
      <c r="E585" s="1" t="s">
        <v>32</v>
      </c>
      <c r="F585" s="1" t="s">
        <v>785</v>
      </c>
      <c r="G585" s="1" t="s">
        <v>56</v>
      </c>
      <c r="H585" s="1" t="s">
        <v>48</v>
      </c>
      <c r="I585" s="1" t="s">
        <v>56</v>
      </c>
      <c r="J585" s="1" t="s">
        <v>33</v>
      </c>
      <c r="K585" s="1" t="s">
        <v>34</v>
      </c>
      <c r="L585">
        <v>2</v>
      </c>
      <c r="M585">
        <v>1</v>
      </c>
      <c r="N585">
        <v>0</v>
      </c>
      <c r="O585">
        <v>3</v>
      </c>
      <c r="P585">
        <v>3</v>
      </c>
      <c r="Q585">
        <v>0</v>
      </c>
      <c r="R585">
        <v>1</v>
      </c>
      <c r="S585">
        <v>0</v>
      </c>
      <c r="T585">
        <v>0</v>
      </c>
      <c r="U585" s="1" t="s">
        <v>663</v>
      </c>
      <c r="V585" s="1">
        <v>0</v>
      </c>
      <c r="W585" s="1">
        <f t="shared" si="9"/>
        <v>0</v>
      </c>
      <c r="X585" s="1" t="s">
        <v>663</v>
      </c>
      <c r="Y585">
        <v>1</v>
      </c>
      <c r="Z585">
        <v>0</v>
      </c>
      <c r="AA585">
        <v>45</v>
      </c>
    </row>
    <row r="586" spans="1:27" x14ac:dyDescent="0.3">
      <c r="A586" s="1" t="s">
        <v>2388</v>
      </c>
      <c r="B586">
        <v>585</v>
      </c>
      <c r="C586" s="1" t="s">
        <v>2389</v>
      </c>
      <c r="D586" s="1" t="s">
        <v>2390</v>
      </c>
      <c r="E586" s="1" t="s">
        <v>29</v>
      </c>
      <c r="F586" s="1" t="s">
        <v>789</v>
      </c>
      <c r="G586" s="1" t="s">
        <v>667</v>
      </c>
      <c r="H586" s="1" t="s">
        <v>55</v>
      </c>
      <c r="I586" s="1" t="s">
        <v>64</v>
      </c>
      <c r="J586" s="1" t="s">
        <v>74</v>
      </c>
      <c r="K586" s="1" t="s">
        <v>668</v>
      </c>
      <c r="L586">
        <v>2</v>
      </c>
      <c r="M586">
        <v>0</v>
      </c>
      <c r="N586">
        <v>0</v>
      </c>
      <c r="O586">
        <v>4</v>
      </c>
      <c r="P586">
        <v>2</v>
      </c>
      <c r="Q586">
        <v>0</v>
      </c>
      <c r="R586">
        <v>0</v>
      </c>
      <c r="S586">
        <v>0</v>
      </c>
      <c r="T586">
        <v>0</v>
      </c>
      <c r="U586" s="1" t="s">
        <v>669</v>
      </c>
      <c r="V586" s="1" t="s">
        <v>104</v>
      </c>
      <c r="W586" s="1">
        <f t="shared" si="9"/>
        <v>76.84</v>
      </c>
      <c r="X586" s="1" t="s">
        <v>670</v>
      </c>
      <c r="Y586">
        <v>1</v>
      </c>
      <c r="Z586">
        <v>0</v>
      </c>
      <c r="AA586">
        <v>46</v>
      </c>
    </row>
    <row r="587" spans="1:27" x14ac:dyDescent="0.3">
      <c r="A587" s="1" t="s">
        <v>2391</v>
      </c>
      <c r="B587">
        <v>586</v>
      </c>
      <c r="C587" s="1" t="s">
        <v>2392</v>
      </c>
      <c r="D587" s="1" t="s">
        <v>2393</v>
      </c>
      <c r="E587" s="1" t="s">
        <v>39</v>
      </c>
      <c r="F587" s="1" t="s">
        <v>1476</v>
      </c>
      <c r="G587" s="1" t="s">
        <v>64</v>
      </c>
      <c r="H587" s="1" t="s">
        <v>63</v>
      </c>
      <c r="I587" s="1" t="s">
        <v>64</v>
      </c>
      <c r="J587" s="1" t="s">
        <v>29</v>
      </c>
      <c r="K587" s="1" t="s">
        <v>675</v>
      </c>
      <c r="L587">
        <v>3</v>
      </c>
      <c r="M587">
        <v>0</v>
      </c>
      <c r="N587">
        <v>0</v>
      </c>
      <c r="O587">
        <v>5</v>
      </c>
      <c r="P587">
        <v>3</v>
      </c>
      <c r="Q587">
        <v>0</v>
      </c>
      <c r="R587">
        <v>0</v>
      </c>
      <c r="S587">
        <v>0</v>
      </c>
      <c r="T587">
        <v>0</v>
      </c>
      <c r="U587" s="1" t="s">
        <v>676</v>
      </c>
      <c r="V587" s="1" t="s">
        <v>304</v>
      </c>
      <c r="W587" s="1">
        <f t="shared" si="9"/>
        <v>64.41</v>
      </c>
      <c r="X587" s="1" t="s">
        <v>677</v>
      </c>
      <c r="Y587">
        <v>1</v>
      </c>
      <c r="Z587">
        <v>0</v>
      </c>
      <c r="AA587">
        <v>47</v>
      </c>
    </row>
    <row r="588" spans="1:27" x14ac:dyDescent="0.3">
      <c r="A588" s="1" t="s">
        <v>2394</v>
      </c>
      <c r="B588">
        <v>587</v>
      </c>
      <c r="C588" s="1" t="s">
        <v>2395</v>
      </c>
      <c r="D588" s="1" t="s">
        <v>1483</v>
      </c>
      <c r="E588" s="1" t="s">
        <v>41</v>
      </c>
      <c r="F588" s="1" t="s">
        <v>1483</v>
      </c>
      <c r="G588" s="1" t="s">
        <v>682</v>
      </c>
      <c r="H588" s="1" t="s">
        <v>74</v>
      </c>
      <c r="I588" s="1" t="s">
        <v>32</v>
      </c>
      <c r="J588" s="1" t="s">
        <v>29</v>
      </c>
      <c r="K588" s="1" t="s">
        <v>2396</v>
      </c>
      <c r="L588">
        <v>3</v>
      </c>
      <c r="M588">
        <v>0</v>
      </c>
      <c r="N588">
        <v>0</v>
      </c>
      <c r="O588">
        <v>6</v>
      </c>
      <c r="P588">
        <v>3</v>
      </c>
      <c r="Q588">
        <v>0</v>
      </c>
      <c r="R588">
        <v>0</v>
      </c>
      <c r="S588">
        <v>1</v>
      </c>
      <c r="T588">
        <v>1</v>
      </c>
      <c r="U588" s="1" t="s">
        <v>2397</v>
      </c>
      <c r="V588" s="1" t="s">
        <v>1027</v>
      </c>
      <c r="W588" s="1">
        <f t="shared" si="9"/>
        <v>268.49</v>
      </c>
      <c r="X588" s="1" t="s">
        <v>1383</v>
      </c>
      <c r="Y588">
        <v>1</v>
      </c>
      <c r="Z588">
        <v>1</v>
      </c>
      <c r="AA588">
        <v>48</v>
      </c>
    </row>
    <row r="589" spans="1:27" x14ac:dyDescent="0.3">
      <c r="A589" s="1" t="s">
        <v>2398</v>
      </c>
      <c r="B589">
        <v>588</v>
      </c>
      <c r="C589" s="1" t="s">
        <v>2399</v>
      </c>
      <c r="D589" s="1" t="s">
        <v>2400</v>
      </c>
      <c r="E589" s="1" t="s">
        <v>32</v>
      </c>
      <c r="F589" s="1" t="s">
        <v>1404</v>
      </c>
      <c r="G589" s="1" t="s">
        <v>689</v>
      </c>
      <c r="H589" s="1" t="s">
        <v>29</v>
      </c>
      <c r="I589" s="1" t="s">
        <v>32</v>
      </c>
      <c r="J589" s="1" t="s">
        <v>75</v>
      </c>
      <c r="K589" s="1" t="s">
        <v>1440</v>
      </c>
      <c r="L589">
        <v>3</v>
      </c>
      <c r="M589">
        <v>2</v>
      </c>
      <c r="N589">
        <v>1</v>
      </c>
      <c r="O589">
        <v>1</v>
      </c>
      <c r="P589">
        <v>6</v>
      </c>
      <c r="Q589">
        <v>0</v>
      </c>
      <c r="R589">
        <v>0</v>
      </c>
      <c r="S589">
        <v>1</v>
      </c>
      <c r="T589">
        <v>1</v>
      </c>
      <c r="U589" s="1" t="s">
        <v>1440</v>
      </c>
      <c r="V589" s="1" t="s">
        <v>127</v>
      </c>
      <c r="W589" s="1">
        <f t="shared" si="9"/>
        <v>47.46</v>
      </c>
      <c r="X589" s="1" t="s">
        <v>835</v>
      </c>
      <c r="Y589">
        <v>1</v>
      </c>
      <c r="Z589">
        <v>1</v>
      </c>
      <c r="AA589">
        <v>49</v>
      </c>
    </row>
    <row r="590" spans="1:27" x14ac:dyDescent="0.3">
      <c r="A590" s="1" t="s">
        <v>2401</v>
      </c>
      <c r="B590">
        <v>589</v>
      </c>
      <c r="C590" s="1" t="s">
        <v>2402</v>
      </c>
      <c r="D590" s="1" t="s">
        <v>695</v>
      </c>
      <c r="E590" s="1" t="s">
        <v>29</v>
      </c>
      <c r="F590" s="1" t="s">
        <v>695</v>
      </c>
      <c r="G590" s="1" t="s">
        <v>695</v>
      </c>
      <c r="H590" s="1" t="s">
        <v>32</v>
      </c>
      <c r="I590" s="1" t="s">
        <v>32</v>
      </c>
      <c r="J590" s="1" t="s">
        <v>41</v>
      </c>
      <c r="K590" s="1" t="s">
        <v>696</v>
      </c>
      <c r="L590">
        <v>3</v>
      </c>
      <c r="M590">
        <v>0</v>
      </c>
      <c r="N590">
        <v>0</v>
      </c>
      <c r="O590">
        <v>2</v>
      </c>
      <c r="P590">
        <v>3</v>
      </c>
      <c r="Q590">
        <v>0</v>
      </c>
      <c r="R590">
        <v>0</v>
      </c>
      <c r="S590">
        <v>1</v>
      </c>
      <c r="T590">
        <v>1</v>
      </c>
      <c r="U590" s="1" t="s">
        <v>697</v>
      </c>
      <c r="V590" s="1" t="s">
        <v>288</v>
      </c>
      <c r="W590" s="1">
        <f t="shared" si="9"/>
        <v>301.70999999999998</v>
      </c>
      <c r="X590" s="1" t="s">
        <v>698</v>
      </c>
      <c r="Y590">
        <v>1</v>
      </c>
      <c r="Z590">
        <v>1</v>
      </c>
      <c r="AA590">
        <v>50</v>
      </c>
    </row>
    <row r="591" spans="1:27" x14ac:dyDescent="0.3">
      <c r="A591" s="1" t="s">
        <v>2403</v>
      </c>
      <c r="B591">
        <v>590</v>
      </c>
      <c r="C591" s="1" t="s">
        <v>2404</v>
      </c>
      <c r="D591" s="1" t="s">
        <v>2405</v>
      </c>
      <c r="E591" s="1" t="s">
        <v>39</v>
      </c>
      <c r="F591" s="1" t="s">
        <v>1492</v>
      </c>
      <c r="G591" s="1" t="s">
        <v>703</v>
      </c>
      <c r="H591" s="1" t="s">
        <v>41</v>
      </c>
      <c r="I591" s="1" t="s">
        <v>32</v>
      </c>
      <c r="J591" s="1" t="s">
        <v>32</v>
      </c>
      <c r="K591" s="1" t="s">
        <v>1493</v>
      </c>
      <c r="L591">
        <v>1</v>
      </c>
      <c r="M591">
        <v>0</v>
      </c>
      <c r="N591">
        <v>0</v>
      </c>
      <c r="O591">
        <v>3</v>
      </c>
      <c r="P591">
        <v>1</v>
      </c>
      <c r="Q591">
        <v>0</v>
      </c>
      <c r="R591">
        <v>0</v>
      </c>
      <c r="S591">
        <v>1</v>
      </c>
      <c r="T591">
        <v>1</v>
      </c>
      <c r="U591" s="1" t="s">
        <v>1494</v>
      </c>
      <c r="V591" s="1" t="s">
        <v>144</v>
      </c>
      <c r="W591" s="1">
        <f t="shared" si="9"/>
        <v>202.26999999999899</v>
      </c>
      <c r="X591" s="1" t="s">
        <v>707</v>
      </c>
      <c r="Y591">
        <v>1</v>
      </c>
      <c r="Z591">
        <v>1</v>
      </c>
      <c r="AA591">
        <v>51</v>
      </c>
    </row>
    <row r="592" spans="1:27" x14ac:dyDescent="0.3">
      <c r="A592" s="1" t="s">
        <v>2406</v>
      </c>
      <c r="B592">
        <v>591</v>
      </c>
      <c r="C592" s="1" t="s">
        <v>2407</v>
      </c>
      <c r="D592" s="1" t="s">
        <v>2408</v>
      </c>
      <c r="E592" s="1" t="s">
        <v>41</v>
      </c>
      <c r="F592" s="1" t="s">
        <v>1498</v>
      </c>
      <c r="G592" s="1" t="s">
        <v>712</v>
      </c>
      <c r="H592" s="1" t="s">
        <v>48</v>
      </c>
      <c r="I592" s="1" t="s">
        <v>32</v>
      </c>
      <c r="J592" s="1" t="s">
        <v>74</v>
      </c>
      <c r="K592" s="1" t="s">
        <v>1401</v>
      </c>
      <c r="L592">
        <v>1</v>
      </c>
      <c r="M592">
        <v>0</v>
      </c>
      <c r="N592">
        <v>0</v>
      </c>
      <c r="O592">
        <v>4</v>
      </c>
      <c r="P592">
        <v>1</v>
      </c>
      <c r="Q592">
        <v>0</v>
      </c>
      <c r="R592">
        <v>0</v>
      </c>
      <c r="S592">
        <v>1</v>
      </c>
      <c r="T592">
        <v>1</v>
      </c>
      <c r="U592" s="1" t="s">
        <v>1401</v>
      </c>
      <c r="V592" s="1" t="s">
        <v>152</v>
      </c>
      <c r="W592" s="1">
        <f t="shared" si="9"/>
        <v>63.28</v>
      </c>
      <c r="X592" s="1" t="s">
        <v>714</v>
      </c>
      <c r="Y592">
        <v>1</v>
      </c>
      <c r="Z592">
        <v>1</v>
      </c>
      <c r="AA592">
        <v>52</v>
      </c>
    </row>
    <row r="593" spans="1:27" x14ac:dyDescent="0.3">
      <c r="A593" s="1" t="s">
        <v>2409</v>
      </c>
      <c r="B593">
        <v>592</v>
      </c>
      <c r="C593" s="1" t="s">
        <v>2410</v>
      </c>
      <c r="D593" s="1" t="s">
        <v>2411</v>
      </c>
      <c r="E593" s="1" t="s">
        <v>32</v>
      </c>
      <c r="F593" s="1" t="s">
        <v>833</v>
      </c>
      <c r="G593" s="1" t="s">
        <v>718</v>
      </c>
      <c r="H593" s="1" t="s">
        <v>55</v>
      </c>
      <c r="I593" s="1" t="s">
        <v>32</v>
      </c>
      <c r="J593" s="1" t="s">
        <v>29</v>
      </c>
      <c r="K593" s="1" t="s">
        <v>719</v>
      </c>
      <c r="L593">
        <v>1</v>
      </c>
      <c r="M593">
        <v>1</v>
      </c>
      <c r="N593">
        <v>0</v>
      </c>
      <c r="O593">
        <v>5</v>
      </c>
      <c r="P593">
        <v>2</v>
      </c>
      <c r="Q593">
        <v>0</v>
      </c>
      <c r="R593">
        <v>0</v>
      </c>
      <c r="S593">
        <v>1</v>
      </c>
      <c r="T593">
        <v>1</v>
      </c>
      <c r="U593" s="1" t="s">
        <v>720</v>
      </c>
      <c r="V593" s="1" t="s">
        <v>161</v>
      </c>
      <c r="W593" s="1">
        <f t="shared" si="9"/>
        <v>66.67</v>
      </c>
      <c r="X593" s="1" t="s">
        <v>721</v>
      </c>
      <c r="Y593">
        <v>1</v>
      </c>
      <c r="Z593">
        <v>1</v>
      </c>
      <c r="AA593">
        <v>53</v>
      </c>
    </row>
    <row r="594" spans="1:27" x14ac:dyDescent="0.3">
      <c r="A594" s="1" t="s">
        <v>2412</v>
      </c>
      <c r="B594">
        <v>593</v>
      </c>
      <c r="C594" s="1" t="s">
        <v>2413</v>
      </c>
      <c r="D594" s="1" t="s">
        <v>1506</v>
      </c>
      <c r="E594" s="1" t="s">
        <v>29</v>
      </c>
      <c r="F594" s="1" t="s">
        <v>1506</v>
      </c>
      <c r="G594" s="1" t="s">
        <v>29</v>
      </c>
      <c r="H594" s="1" t="s">
        <v>63</v>
      </c>
      <c r="I594" s="1" t="s">
        <v>32</v>
      </c>
      <c r="J594" s="1" t="s">
        <v>75</v>
      </c>
      <c r="K594" s="1" t="s">
        <v>2414</v>
      </c>
      <c r="L594">
        <v>2</v>
      </c>
      <c r="M594">
        <v>0</v>
      </c>
      <c r="N594">
        <v>0</v>
      </c>
      <c r="O594">
        <v>6</v>
      </c>
      <c r="P594">
        <v>2</v>
      </c>
      <c r="Q594">
        <v>0</v>
      </c>
      <c r="R594">
        <v>0</v>
      </c>
      <c r="S594">
        <v>1</v>
      </c>
      <c r="T594">
        <v>1</v>
      </c>
      <c r="U594" s="1" t="s">
        <v>2415</v>
      </c>
      <c r="V594" s="1" t="s">
        <v>588</v>
      </c>
      <c r="W594" s="1">
        <f t="shared" si="9"/>
        <v>263.97000000000003</v>
      </c>
      <c r="X594" s="1" t="s">
        <v>648</v>
      </c>
      <c r="Y594">
        <v>1</v>
      </c>
      <c r="Z594">
        <v>1</v>
      </c>
      <c r="AA594">
        <v>54</v>
      </c>
    </row>
    <row r="595" spans="1:27" x14ac:dyDescent="0.3">
      <c r="A595" s="1" t="s">
        <v>2416</v>
      </c>
      <c r="B595">
        <v>594</v>
      </c>
      <c r="C595" s="1" t="s">
        <v>2417</v>
      </c>
      <c r="D595" s="1" t="s">
        <v>2418</v>
      </c>
      <c r="E595" s="1" t="s">
        <v>39</v>
      </c>
      <c r="F595" s="1" t="s">
        <v>844</v>
      </c>
      <c r="G595" s="1" t="s">
        <v>730</v>
      </c>
      <c r="H595" s="1" t="s">
        <v>74</v>
      </c>
      <c r="I595" s="1" t="s">
        <v>32</v>
      </c>
      <c r="J595" s="1" t="s">
        <v>41</v>
      </c>
      <c r="K595" s="1" t="s">
        <v>2419</v>
      </c>
      <c r="L595">
        <v>2</v>
      </c>
      <c r="M595">
        <v>2</v>
      </c>
      <c r="N595">
        <v>0</v>
      </c>
      <c r="O595">
        <v>1</v>
      </c>
      <c r="P595">
        <v>4</v>
      </c>
      <c r="Q595">
        <v>0</v>
      </c>
      <c r="R595">
        <v>0</v>
      </c>
      <c r="S595">
        <v>1</v>
      </c>
      <c r="T595">
        <v>1</v>
      </c>
      <c r="U595" s="1" t="s">
        <v>2419</v>
      </c>
      <c r="V595" s="1" t="s">
        <v>78</v>
      </c>
      <c r="W595" s="1">
        <f t="shared" si="9"/>
        <v>54.92</v>
      </c>
      <c r="X595" s="1" t="s">
        <v>2420</v>
      </c>
      <c r="Y595">
        <v>1</v>
      </c>
      <c r="Z595">
        <v>1</v>
      </c>
      <c r="AA595">
        <v>55</v>
      </c>
    </row>
    <row r="596" spans="1:27" x14ac:dyDescent="0.3">
      <c r="A596" s="1" t="s">
        <v>2421</v>
      </c>
      <c r="B596">
        <v>595</v>
      </c>
      <c r="C596" s="1" t="s">
        <v>2422</v>
      </c>
      <c r="D596" s="1" t="s">
        <v>1514</v>
      </c>
      <c r="E596" s="1" t="s">
        <v>41</v>
      </c>
      <c r="F596" s="1" t="s">
        <v>1514</v>
      </c>
      <c r="G596" s="1" t="s">
        <v>735</v>
      </c>
      <c r="H596" s="1" t="s">
        <v>29</v>
      </c>
      <c r="I596" s="1" t="s">
        <v>32</v>
      </c>
      <c r="J596" s="1" t="s">
        <v>32</v>
      </c>
      <c r="K596" s="1" t="s">
        <v>736</v>
      </c>
      <c r="L596">
        <v>2</v>
      </c>
      <c r="M596">
        <v>0</v>
      </c>
      <c r="N596">
        <v>0</v>
      </c>
      <c r="O596">
        <v>2</v>
      </c>
      <c r="P596">
        <v>2</v>
      </c>
      <c r="Q596">
        <v>0</v>
      </c>
      <c r="R596">
        <v>0</v>
      </c>
      <c r="S596">
        <v>1</v>
      </c>
      <c r="T596">
        <v>1</v>
      </c>
      <c r="U596" s="1" t="s">
        <v>737</v>
      </c>
      <c r="V596" s="1" t="s">
        <v>87</v>
      </c>
      <c r="W596" s="1">
        <f t="shared" si="9"/>
        <v>274.58999999999997</v>
      </c>
      <c r="X596" s="1" t="s">
        <v>738</v>
      </c>
      <c r="Y596">
        <v>1</v>
      </c>
      <c r="Z596">
        <v>1</v>
      </c>
      <c r="AA596">
        <v>56</v>
      </c>
    </row>
    <row r="597" spans="1:27" x14ac:dyDescent="0.3">
      <c r="A597" s="1" t="s">
        <v>2423</v>
      </c>
      <c r="B597">
        <v>596</v>
      </c>
      <c r="C597" s="1" t="s">
        <v>2424</v>
      </c>
      <c r="D597" s="1" t="s">
        <v>742</v>
      </c>
      <c r="E597" s="1" t="s">
        <v>32</v>
      </c>
      <c r="F597" s="1" t="s">
        <v>742</v>
      </c>
      <c r="G597" s="1" t="s">
        <v>742</v>
      </c>
      <c r="H597" s="1" t="s">
        <v>32</v>
      </c>
      <c r="I597" s="1" t="s">
        <v>32</v>
      </c>
      <c r="J597" s="1" t="s">
        <v>74</v>
      </c>
      <c r="K597" s="1" t="s">
        <v>809</v>
      </c>
      <c r="L597">
        <v>3</v>
      </c>
      <c r="M597">
        <v>1</v>
      </c>
      <c r="N597">
        <v>0</v>
      </c>
      <c r="O597">
        <v>3</v>
      </c>
      <c r="P597">
        <v>4</v>
      </c>
      <c r="Q597">
        <v>0</v>
      </c>
      <c r="R597">
        <v>0</v>
      </c>
      <c r="S597">
        <v>1</v>
      </c>
      <c r="T597">
        <v>1</v>
      </c>
      <c r="U597" s="1" t="s">
        <v>810</v>
      </c>
      <c r="V597" s="1" t="s">
        <v>96</v>
      </c>
      <c r="W597" s="1">
        <f t="shared" si="9"/>
        <v>229.39</v>
      </c>
      <c r="X597" s="1" t="s">
        <v>663</v>
      </c>
      <c r="Y597">
        <v>1</v>
      </c>
      <c r="Z597">
        <v>1</v>
      </c>
      <c r="AA597">
        <v>57</v>
      </c>
    </row>
    <row r="598" spans="1:27" x14ac:dyDescent="0.3">
      <c r="A598" s="1" t="s">
        <v>2425</v>
      </c>
      <c r="B598">
        <v>597</v>
      </c>
      <c r="C598" s="1" t="s">
        <v>2426</v>
      </c>
      <c r="D598" s="1" t="s">
        <v>2427</v>
      </c>
      <c r="E598" s="1" t="s">
        <v>29</v>
      </c>
      <c r="F598" s="1" t="s">
        <v>1519</v>
      </c>
      <c r="G598" s="1" t="s">
        <v>747</v>
      </c>
      <c r="H598" s="1" t="s">
        <v>41</v>
      </c>
      <c r="I598" s="1" t="s">
        <v>32</v>
      </c>
      <c r="J598" s="1" t="s">
        <v>29</v>
      </c>
      <c r="K598" s="1" t="s">
        <v>815</v>
      </c>
      <c r="L598">
        <v>3</v>
      </c>
      <c r="M598">
        <v>0</v>
      </c>
      <c r="N598">
        <v>0</v>
      </c>
      <c r="O598">
        <v>4</v>
      </c>
      <c r="P598">
        <v>3</v>
      </c>
      <c r="Q598">
        <v>0</v>
      </c>
      <c r="R598">
        <v>0</v>
      </c>
      <c r="S598">
        <v>1</v>
      </c>
      <c r="T598">
        <v>1</v>
      </c>
      <c r="U598" s="1" t="s">
        <v>815</v>
      </c>
      <c r="V598" s="1" t="s">
        <v>104</v>
      </c>
      <c r="W598" s="1">
        <f t="shared" si="9"/>
        <v>76.84</v>
      </c>
      <c r="X598" s="1" t="s">
        <v>816</v>
      </c>
      <c r="Y598">
        <v>1</v>
      </c>
      <c r="Z598">
        <v>1</v>
      </c>
      <c r="AA598">
        <v>58</v>
      </c>
    </row>
    <row r="599" spans="1:27" x14ac:dyDescent="0.3">
      <c r="A599" s="1" t="s">
        <v>2428</v>
      </c>
      <c r="B599">
        <v>598</v>
      </c>
      <c r="C599" s="1" t="s">
        <v>2429</v>
      </c>
      <c r="D599" s="1" t="s">
        <v>2430</v>
      </c>
      <c r="E599" s="1" t="s">
        <v>39</v>
      </c>
      <c r="F599" s="1" t="s">
        <v>1523</v>
      </c>
      <c r="G599" s="1" t="s">
        <v>754</v>
      </c>
      <c r="H599" s="1" t="s">
        <v>48</v>
      </c>
      <c r="I599" s="1" t="s">
        <v>32</v>
      </c>
      <c r="J599" s="1" t="s">
        <v>75</v>
      </c>
      <c r="K599" s="1" t="s">
        <v>1428</v>
      </c>
      <c r="L599">
        <v>3</v>
      </c>
      <c r="M599">
        <v>0</v>
      </c>
      <c r="N599">
        <v>0</v>
      </c>
      <c r="O599">
        <v>5</v>
      </c>
      <c r="P599">
        <v>3</v>
      </c>
      <c r="Q599">
        <v>0</v>
      </c>
      <c r="R599">
        <v>0</v>
      </c>
      <c r="S599">
        <v>1</v>
      </c>
      <c r="T599">
        <v>1</v>
      </c>
      <c r="U599" s="1" t="s">
        <v>1429</v>
      </c>
      <c r="V599" s="1" t="s">
        <v>111</v>
      </c>
      <c r="W599" s="1">
        <f t="shared" si="9"/>
        <v>80.229999999999905</v>
      </c>
      <c r="X599" s="1" t="s">
        <v>677</v>
      </c>
      <c r="Y599">
        <v>1</v>
      </c>
      <c r="Z599">
        <v>1</v>
      </c>
      <c r="AA599">
        <v>59</v>
      </c>
    </row>
    <row r="600" spans="1:27" x14ac:dyDescent="0.3">
      <c r="A600" s="1" t="s">
        <v>2431</v>
      </c>
      <c r="B600">
        <v>599</v>
      </c>
      <c r="C600" s="1" t="s">
        <v>2432</v>
      </c>
      <c r="D600" s="1" t="s">
        <v>2433</v>
      </c>
      <c r="E600" s="1" t="s">
        <v>41</v>
      </c>
      <c r="F600" s="1" t="s">
        <v>1451</v>
      </c>
      <c r="G600" s="1" t="s">
        <v>760</v>
      </c>
      <c r="H600" s="1" t="s">
        <v>55</v>
      </c>
      <c r="I600" s="1" t="s">
        <v>32</v>
      </c>
      <c r="J600" s="1" t="s">
        <v>41</v>
      </c>
      <c r="K600" s="1" t="s">
        <v>1933</v>
      </c>
      <c r="L600">
        <v>3</v>
      </c>
      <c r="M600">
        <v>0</v>
      </c>
      <c r="N600">
        <v>0</v>
      </c>
      <c r="O600">
        <v>6</v>
      </c>
      <c r="P600">
        <v>3</v>
      </c>
      <c r="Q600">
        <v>0</v>
      </c>
      <c r="R600">
        <v>0</v>
      </c>
      <c r="S600">
        <v>1</v>
      </c>
      <c r="T600">
        <v>1</v>
      </c>
      <c r="U600" s="1" t="s">
        <v>1934</v>
      </c>
      <c r="V600" s="1" t="s">
        <v>120</v>
      </c>
      <c r="W600" s="1">
        <f t="shared" si="9"/>
        <v>249.39</v>
      </c>
      <c r="X600" s="1" t="s">
        <v>1383</v>
      </c>
      <c r="Y600">
        <v>1</v>
      </c>
      <c r="Z600">
        <v>1</v>
      </c>
      <c r="AA600">
        <v>60</v>
      </c>
    </row>
    <row r="601" spans="1:27" x14ac:dyDescent="0.3">
      <c r="A601" s="1" t="s">
        <v>2434</v>
      </c>
      <c r="B601">
        <v>600</v>
      </c>
      <c r="C601" s="1" t="s">
        <v>2435</v>
      </c>
      <c r="D601" s="1" t="s">
        <v>2436</v>
      </c>
      <c r="E601" s="1" t="s">
        <v>32</v>
      </c>
      <c r="F601" s="1" t="s">
        <v>1530</v>
      </c>
      <c r="G601" s="1" t="s">
        <v>763</v>
      </c>
      <c r="H601" s="1" t="s">
        <v>63</v>
      </c>
      <c r="I601" s="1" t="s">
        <v>32</v>
      </c>
      <c r="J601" s="1" t="s">
        <v>32</v>
      </c>
      <c r="K601" s="1" t="s">
        <v>764</v>
      </c>
      <c r="L601">
        <v>1</v>
      </c>
      <c r="M601">
        <v>2</v>
      </c>
      <c r="N601">
        <v>1</v>
      </c>
      <c r="O601">
        <v>1</v>
      </c>
      <c r="P601">
        <v>4</v>
      </c>
      <c r="Q601">
        <v>0</v>
      </c>
      <c r="R601">
        <v>0</v>
      </c>
      <c r="S601">
        <v>1</v>
      </c>
      <c r="T601">
        <v>1</v>
      </c>
      <c r="U601" s="1" t="s">
        <v>764</v>
      </c>
      <c r="V601" s="1" t="s">
        <v>127</v>
      </c>
      <c r="W601" s="1">
        <f t="shared" si="9"/>
        <v>47.46</v>
      </c>
      <c r="X601" s="1" t="s">
        <v>765</v>
      </c>
      <c r="Y601">
        <v>1</v>
      </c>
      <c r="Z601">
        <v>1</v>
      </c>
      <c r="AA601">
        <v>61</v>
      </c>
    </row>
    <row r="602" spans="1:27" x14ac:dyDescent="0.3">
      <c r="A602" s="1" t="s">
        <v>2437</v>
      </c>
      <c r="B602">
        <v>601</v>
      </c>
      <c r="C602" s="1" t="s">
        <v>2438</v>
      </c>
      <c r="D602" s="1" t="s">
        <v>30</v>
      </c>
      <c r="E602" s="1" t="s">
        <v>29</v>
      </c>
      <c r="F602" s="1" t="s">
        <v>30</v>
      </c>
      <c r="G602" s="1" t="s">
        <v>30</v>
      </c>
      <c r="H602" s="1" t="s">
        <v>74</v>
      </c>
      <c r="I602" s="1" t="s">
        <v>33</v>
      </c>
      <c r="J602" s="1" t="s">
        <v>33</v>
      </c>
      <c r="K602" s="1" t="s">
        <v>34</v>
      </c>
      <c r="L602">
        <v>1</v>
      </c>
      <c r="M602">
        <v>0</v>
      </c>
      <c r="N602">
        <v>0</v>
      </c>
      <c r="O602">
        <v>2</v>
      </c>
      <c r="P602">
        <v>1</v>
      </c>
      <c r="Q602">
        <v>1</v>
      </c>
      <c r="R602">
        <v>0</v>
      </c>
      <c r="S602">
        <v>0</v>
      </c>
      <c r="T602">
        <v>0</v>
      </c>
      <c r="U602" s="1" t="s">
        <v>770</v>
      </c>
      <c r="V602" s="1">
        <v>0</v>
      </c>
      <c r="W602" s="1">
        <f t="shared" si="9"/>
        <v>0</v>
      </c>
      <c r="X602" s="1" t="s">
        <v>770</v>
      </c>
      <c r="Y602">
        <v>1</v>
      </c>
      <c r="Z602">
        <v>0</v>
      </c>
      <c r="AA602">
        <v>62</v>
      </c>
    </row>
    <row r="603" spans="1:27" x14ac:dyDescent="0.3">
      <c r="A603" s="1" t="s">
        <v>2439</v>
      </c>
      <c r="B603">
        <v>602</v>
      </c>
      <c r="C603" s="1" t="s">
        <v>2440</v>
      </c>
      <c r="D603" s="1" t="s">
        <v>2441</v>
      </c>
      <c r="E603" s="1" t="s">
        <v>39</v>
      </c>
      <c r="F603" s="1" t="s">
        <v>38</v>
      </c>
      <c r="G603" s="1" t="s">
        <v>775</v>
      </c>
      <c r="H603" s="1" t="s">
        <v>29</v>
      </c>
      <c r="I603" s="1" t="s">
        <v>33</v>
      </c>
      <c r="J603" s="1" t="s">
        <v>33</v>
      </c>
      <c r="K603" s="1" t="s">
        <v>34</v>
      </c>
      <c r="L603">
        <v>1</v>
      </c>
      <c r="M603">
        <v>0</v>
      </c>
      <c r="N603">
        <v>0</v>
      </c>
      <c r="O603">
        <v>3</v>
      </c>
      <c r="P603">
        <v>1</v>
      </c>
      <c r="Q603">
        <v>1</v>
      </c>
      <c r="R603">
        <v>0</v>
      </c>
      <c r="S603">
        <v>0</v>
      </c>
      <c r="T603">
        <v>0</v>
      </c>
      <c r="U603" s="1" t="s">
        <v>776</v>
      </c>
      <c r="V603" s="1">
        <v>0</v>
      </c>
      <c r="W603" s="1">
        <f t="shared" si="9"/>
        <v>0</v>
      </c>
      <c r="X603" s="1" t="s">
        <v>776</v>
      </c>
      <c r="Y603">
        <v>1</v>
      </c>
      <c r="Z603">
        <v>0</v>
      </c>
      <c r="AA603">
        <v>63</v>
      </c>
    </row>
    <row r="604" spans="1:27" x14ac:dyDescent="0.3">
      <c r="A604" s="1" t="s">
        <v>2442</v>
      </c>
      <c r="B604">
        <v>603</v>
      </c>
      <c r="C604" s="1" t="s">
        <v>2443</v>
      </c>
      <c r="D604" s="1" t="s">
        <v>2444</v>
      </c>
      <c r="E604" s="1" t="s">
        <v>41</v>
      </c>
      <c r="F604" s="1" t="s">
        <v>46</v>
      </c>
      <c r="G604" s="1" t="s">
        <v>780</v>
      </c>
      <c r="H604" s="1" t="s">
        <v>32</v>
      </c>
      <c r="I604" s="1" t="s">
        <v>33</v>
      </c>
      <c r="J604" s="1" t="s">
        <v>33</v>
      </c>
      <c r="K604" s="1" t="s">
        <v>34</v>
      </c>
      <c r="L604">
        <v>2</v>
      </c>
      <c r="M604">
        <v>0</v>
      </c>
      <c r="N604">
        <v>0</v>
      </c>
      <c r="O604">
        <v>4</v>
      </c>
      <c r="P604">
        <v>2</v>
      </c>
      <c r="Q604">
        <v>1</v>
      </c>
      <c r="R604">
        <v>0</v>
      </c>
      <c r="S604">
        <v>0</v>
      </c>
      <c r="T604">
        <v>0</v>
      </c>
      <c r="U604" s="1" t="s">
        <v>1454</v>
      </c>
      <c r="V604" s="1">
        <v>0</v>
      </c>
      <c r="W604" s="1">
        <f t="shared" si="9"/>
        <v>0</v>
      </c>
      <c r="X604" s="1" t="s">
        <v>1454</v>
      </c>
      <c r="Y604">
        <v>1</v>
      </c>
      <c r="Z604">
        <v>0</v>
      </c>
      <c r="AA604">
        <v>64</v>
      </c>
    </row>
    <row r="605" spans="1:27" x14ac:dyDescent="0.3">
      <c r="A605" s="1" t="s">
        <v>2445</v>
      </c>
      <c r="B605">
        <v>604</v>
      </c>
      <c r="C605" s="1" t="s">
        <v>2446</v>
      </c>
      <c r="D605" s="1" t="s">
        <v>2447</v>
      </c>
      <c r="E605" s="1" t="s">
        <v>32</v>
      </c>
      <c r="F605" s="1" t="s">
        <v>53</v>
      </c>
      <c r="G605" s="1" t="s">
        <v>785</v>
      </c>
      <c r="H605" s="1" t="s">
        <v>41</v>
      </c>
      <c r="I605" s="1" t="s">
        <v>56</v>
      </c>
      <c r="J605" s="1" t="s">
        <v>33</v>
      </c>
      <c r="K605" s="1" t="s">
        <v>34</v>
      </c>
      <c r="L605">
        <v>2</v>
      </c>
      <c r="M605">
        <v>1</v>
      </c>
      <c r="N605">
        <v>0</v>
      </c>
      <c r="O605">
        <v>5</v>
      </c>
      <c r="P605">
        <v>3</v>
      </c>
      <c r="Q605">
        <v>0</v>
      </c>
      <c r="R605">
        <v>1</v>
      </c>
      <c r="S605">
        <v>0</v>
      </c>
      <c r="T605">
        <v>0</v>
      </c>
      <c r="U605" s="1" t="s">
        <v>786</v>
      </c>
      <c r="V605" s="1">
        <v>0</v>
      </c>
      <c r="W605" s="1">
        <f t="shared" si="9"/>
        <v>0</v>
      </c>
      <c r="X605" s="1" t="s">
        <v>786</v>
      </c>
      <c r="Y605">
        <v>1</v>
      </c>
      <c r="Z605">
        <v>0</v>
      </c>
      <c r="AA605">
        <v>65</v>
      </c>
    </row>
    <row r="606" spans="1:27" x14ac:dyDescent="0.3">
      <c r="A606" s="1" t="s">
        <v>2448</v>
      </c>
      <c r="B606">
        <v>605</v>
      </c>
      <c r="C606" s="1" t="s">
        <v>2449</v>
      </c>
      <c r="D606" s="1" t="s">
        <v>2450</v>
      </c>
      <c r="E606" s="1" t="s">
        <v>29</v>
      </c>
      <c r="F606" s="1" t="s">
        <v>61</v>
      </c>
      <c r="G606" s="1" t="s">
        <v>789</v>
      </c>
      <c r="H606" s="1" t="s">
        <v>48</v>
      </c>
      <c r="I606" s="1" t="s">
        <v>64</v>
      </c>
      <c r="J606" s="1" t="s">
        <v>29</v>
      </c>
      <c r="K606" s="1" t="s">
        <v>1913</v>
      </c>
      <c r="L606">
        <v>2</v>
      </c>
      <c r="M606">
        <v>0</v>
      </c>
      <c r="N606">
        <v>0</v>
      </c>
      <c r="O606">
        <v>6</v>
      </c>
      <c r="P606">
        <v>2</v>
      </c>
      <c r="Q606">
        <v>0</v>
      </c>
      <c r="R606">
        <v>0</v>
      </c>
      <c r="S606">
        <v>0</v>
      </c>
      <c r="T606">
        <v>0</v>
      </c>
      <c r="U606" s="1" t="s">
        <v>1914</v>
      </c>
      <c r="V606" s="1" t="s">
        <v>67</v>
      </c>
      <c r="W606" s="1">
        <f t="shared" si="9"/>
        <v>22.6</v>
      </c>
      <c r="X606" s="1" t="s">
        <v>1915</v>
      </c>
      <c r="Y606">
        <v>1</v>
      </c>
      <c r="Z606">
        <v>0</v>
      </c>
      <c r="AA606">
        <v>66</v>
      </c>
    </row>
    <row r="607" spans="1:27" x14ac:dyDescent="0.3">
      <c r="A607" s="1" t="s">
        <v>2451</v>
      </c>
      <c r="B607">
        <v>606</v>
      </c>
      <c r="C607" s="1" t="s">
        <v>2452</v>
      </c>
      <c r="D607" s="1" t="s">
        <v>2453</v>
      </c>
      <c r="E607" s="1" t="s">
        <v>39</v>
      </c>
      <c r="F607" s="1" t="s">
        <v>72</v>
      </c>
      <c r="G607" s="1" t="s">
        <v>796</v>
      </c>
      <c r="H607" s="1" t="s">
        <v>55</v>
      </c>
      <c r="I607" s="1" t="s">
        <v>64</v>
      </c>
      <c r="J607" s="1" t="s">
        <v>75</v>
      </c>
      <c r="K607" s="1" t="s">
        <v>2454</v>
      </c>
      <c r="L607">
        <v>3</v>
      </c>
      <c r="M607">
        <v>2</v>
      </c>
      <c r="N607">
        <v>0</v>
      </c>
      <c r="O607">
        <v>1</v>
      </c>
      <c r="P607">
        <v>5</v>
      </c>
      <c r="Q607">
        <v>0</v>
      </c>
      <c r="R607">
        <v>0</v>
      </c>
      <c r="S607">
        <v>0</v>
      </c>
      <c r="T607">
        <v>0</v>
      </c>
      <c r="U607" s="1" t="s">
        <v>731</v>
      </c>
      <c r="V607" s="1" t="s">
        <v>177</v>
      </c>
      <c r="W607" s="1">
        <f t="shared" si="9"/>
        <v>61.02</v>
      </c>
      <c r="X607" s="1" t="s">
        <v>732</v>
      </c>
      <c r="Y607">
        <v>1</v>
      </c>
      <c r="Z607">
        <v>0</v>
      </c>
      <c r="AA607">
        <v>67</v>
      </c>
    </row>
    <row r="608" spans="1:27" x14ac:dyDescent="0.3">
      <c r="A608" s="1" t="s">
        <v>2455</v>
      </c>
      <c r="B608">
        <v>607</v>
      </c>
      <c r="C608" s="1" t="s">
        <v>2456</v>
      </c>
      <c r="D608" s="1" t="s">
        <v>803</v>
      </c>
      <c r="E608" s="1" t="s">
        <v>41</v>
      </c>
      <c r="F608" s="1" t="s">
        <v>83</v>
      </c>
      <c r="G608" s="1" t="s">
        <v>803</v>
      </c>
      <c r="H608" s="1" t="s">
        <v>63</v>
      </c>
      <c r="I608" s="1" t="s">
        <v>32</v>
      </c>
      <c r="J608" s="1" t="s">
        <v>75</v>
      </c>
      <c r="K608" s="1" t="s">
        <v>1415</v>
      </c>
      <c r="L608">
        <v>3</v>
      </c>
      <c r="M608">
        <v>0</v>
      </c>
      <c r="N608">
        <v>0</v>
      </c>
      <c r="O608">
        <v>2</v>
      </c>
      <c r="P608">
        <v>3</v>
      </c>
      <c r="Q608">
        <v>0</v>
      </c>
      <c r="R608">
        <v>0</v>
      </c>
      <c r="S608">
        <v>1</v>
      </c>
      <c r="T608">
        <v>1</v>
      </c>
      <c r="U608" s="1" t="s">
        <v>1416</v>
      </c>
      <c r="V608" s="1" t="s">
        <v>184</v>
      </c>
      <c r="W608" s="1">
        <f t="shared" si="9"/>
        <v>265.77999999999997</v>
      </c>
      <c r="X608" s="1" t="s">
        <v>1417</v>
      </c>
      <c r="Y608">
        <v>1</v>
      </c>
      <c r="Z608">
        <v>1</v>
      </c>
      <c r="AA608">
        <v>68</v>
      </c>
    </row>
    <row r="609" spans="1:27" x14ac:dyDescent="0.3">
      <c r="A609" s="1" t="s">
        <v>2457</v>
      </c>
      <c r="B609">
        <v>608</v>
      </c>
      <c r="C609" s="1" t="s">
        <v>2458</v>
      </c>
      <c r="D609" s="1" t="s">
        <v>92</v>
      </c>
      <c r="E609" s="1" t="s">
        <v>32</v>
      </c>
      <c r="F609" s="1" t="s">
        <v>92</v>
      </c>
      <c r="G609" s="1" t="s">
        <v>808</v>
      </c>
      <c r="H609" s="1" t="s">
        <v>74</v>
      </c>
      <c r="I609" s="1" t="s">
        <v>32</v>
      </c>
      <c r="J609" s="1" t="s">
        <v>41</v>
      </c>
      <c r="K609" s="1" t="s">
        <v>1421</v>
      </c>
      <c r="L609">
        <v>3</v>
      </c>
      <c r="M609">
        <v>1</v>
      </c>
      <c r="N609">
        <v>0</v>
      </c>
      <c r="O609">
        <v>3</v>
      </c>
      <c r="P609">
        <v>4</v>
      </c>
      <c r="Q609">
        <v>0</v>
      </c>
      <c r="R609">
        <v>0</v>
      </c>
      <c r="S609">
        <v>1</v>
      </c>
      <c r="T609">
        <v>1</v>
      </c>
      <c r="U609" s="1" t="s">
        <v>1422</v>
      </c>
      <c r="V609" s="1" t="s">
        <v>192</v>
      </c>
      <c r="W609" s="1">
        <f t="shared" si="9"/>
        <v>220.58</v>
      </c>
      <c r="X609" s="1" t="s">
        <v>663</v>
      </c>
      <c r="Y609">
        <v>1</v>
      </c>
      <c r="Z609">
        <v>1</v>
      </c>
      <c r="AA609">
        <v>69</v>
      </c>
    </row>
    <row r="610" spans="1:27" x14ac:dyDescent="0.3">
      <c r="A610" s="1" t="s">
        <v>2459</v>
      </c>
      <c r="B610">
        <v>609</v>
      </c>
      <c r="C610" s="1" t="s">
        <v>2460</v>
      </c>
      <c r="D610" s="1" t="s">
        <v>101</v>
      </c>
      <c r="E610" s="1" t="s">
        <v>29</v>
      </c>
      <c r="F610" s="1" t="s">
        <v>101</v>
      </c>
      <c r="G610" s="1" t="s">
        <v>814</v>
      </c>
      <c r="H610" s="1" t="s">
        <v>29</v>
      </c>
      <c r="I610" s="1" t="s">
        <v>32</v>
      </c>
      <c r="J610" s="1" t="s">
        <v>32</v>
      </c>
      <c r="K610" s="1" t="s">
        <v>815</v>
      </c>
      <c r="L610">
        <v>3</v>
      </c>
      <c r="M610">
        <v>0</v>
      </c>
      <c r="N610">
        <v>0</v>
      </c>
      <c r="O610">
        <v>4</v>
      </c>
      <c r="P610">
        <v>3</v>
      </c>
      <c r="Q610">
        <v>0</v>
      </c>
      <c r="R610">
        <v>0</v>
      </c>
      <c r="S610">
        <v>1</v>
      </c>
      <c r="T610">
        <v>1</v>
      </c>
      <c r="U610" s="1" t="s">
        <v>815</v>
      </c>
      <c r="V610" s="1" t="s">
        <v>104</v>
      </c>
      <c r="W610" s="1">
        <f t="shared" si="9"/>
        <v>76.84</v>
      </c>
      <c r="X610" s="1" t="s">
        <v>816</v>
      </c>
      <c r="Y610">
        <v>1</v>
      </c>
      <c r="Z610">
        <v>1</v>
      </c>
      <c r="AA610">
        <v>70</v>
      </c>
    </row>
    <row r="611" spans="1:27" x14ac:dyDescent="0.3">
      <c r="A611" s="1" t="s">
        <v>2461</v>
      </c>
      <c r="B611">
        <v>610</v>
      </c>
      <c r="C611" s="1" t="s">
        <v>2462</v>
      </c>
      <c r="D611" s="1" t="s">
        <v>2463</v>
      </c>
      <c r="E611" s="1" t="s">
        <v>39</v>
      </c>
      <c r="F611" s="1" t="s">
        <v>108</v>
      </c>
      <c r="G611" s="1" t="s">
        <v>820</v>
      </c>
      <c r="H611" s="1" t="s">
        <v>32</v>
      </c>
      <c r="I611" s="1" t="s">
        <v>32</v>
      </c>
      <c r="J611" s="1" t="s">
        <v>74</v>
      </c>
      <c r="K611" s="1" t="s">
        <v>821</v>
      </c>
      <c r="L611">
        <v>1</v>
      </c>
      <c r="M611">
        <v>0</v>
      </c>
      <c r="N611">
        <v>0</v>
      </c>
      <c r="O611">
        <v>5</v>
      </c>
      <c r="P611">
        <v>1</v>
      </c>
      <c r="Q611">
        <v>0</v>
      </c>
      <c r="R611">
        <v>0</v>
      </c>
      <c r="S611">
        <v>1</v>
      </c>
      <c r="T611">
        <v>1</v>
      </c>
      <c r="U611" s="1" t="s">
        <v>822</v>
      </c>
      <c r="V611" s="1" t="s">
        <v>111</v>
      </c>
      <c r="W611" s="1">
        <f t="shared" si="9"/>
        <v>80.229999999999905</v>
      </c>
      <c r="X611" s="1" t="s">
        <v>823</v>
      </c>
      <c r="Y611">
        <v>1</v>
      </c>
      <c r="Z611">
        <v>1</v>
      </c>
      <c r="AA611">
        <v>71</v>
      </c>
    </row>
    <row r="612" spans="1:27" x14ac:dyDescent="0.3">
      <c r="A612" s="1" t="s">
        <v>2464</v>
      </c>
      <c r="B612">
        <v>611</v>
      </c>
      <c r="C612" s="1" t="s">
        <v>2465</v>
      </c>
      <c r="D612" s="1" t="s">
        <v>116</v>
      </c>
      <c r="E612" s="1" t="s">
        <v>41</v>
      </c>
      <c r="F612" s="1" t="s">
        <v>116</v>
      </c>
      <c r="G612" s="1" t="s">
        <v>116</v>
      </c>
      <c r="H612" s="1" t="s">
        <v>41</v>
      </c>
      <c r="I612" s="1" t="s">
        <v>32</v>
      </c>
      <c r="J612" s="1" t="s">
        <v>29</v>
      </c>
      <c r="K612" s="1" t="s">
        <v>683</v>
      </c>
      <c r="L612">
        <v>1</v>
      </c>
      <c r="M612">
        <v>0</v>
      </c>
      <c r="N612">
        <v>0</v>
      </c>
      <c r="O612">
        <v>6</v>
      </c>
      <c r="P612">
        <v>1</v>
      </c>
      <c r="Q612">
        <v>0</v>
      </c>
      <c r="R612">
        <v>0</v>
      </c>
      <c r="S612">
        <v>1</v>
      </c>
      <c r="T612">
        <v>1</v>
      </c>
      <c r="U612" s="1" t="s">
        <v>684</v>
      </c>
      <c r="V612" s="1" t="s">
        <v>169</v>
      </c>
      <c r="W612" s="1">
        <f t="shared" si="9"/>
        <v>270.07</v>
      </c>
      <c r="X612" s="1" t="s">
        <v>685</v>
      </c>
      <c r="Y612">
        <v>1</v>
      </c>
      <c r="Z612">
        <v>1</v>
      </c>
      <c r="AA612">
        <v>72</v>
      </c>
    </row>
    <row r="613" spans="1:27" x14ac:dyDescent="0.3">
      <c r="A613" s="1" t="s">
        <v>2466</v>
      </c>
      <c r="B613">
        <v>612</v>
      </c>
      <c r="C613" s="1" t="s">
        <v>2467</v>
      </c>
      <c r="D613" s="1" t="s">
        <v>2468</v>
      </c>
      <c r="E613" s="1" t="s">
        <v>32</v>
      </c>
      <c r="F613" s="1" t="s">
        <v>125</v>
      </c>
      <c r="G613" s="1" t="s">
        <v>833</v>
      </c>
      <c r="H613" s="1" t="s">
        <v>48</v>
      </c>
      <c r="I613" s="1" t="s">
        <v>32</v>
      </c>
      <c r="J613" s="1" t="s">
        <v>75</v>
      </c>
      <c r="K613" s="1" t="s">
        <v>690</v>
      </c>
      <c r="L613">
        <v>1</v>
      </c>
      <c r="M613">
        <v>2</v>
      </c>
      <c r="N613">
        <v>1</v>
      </c>
      <c r="O613">
        <v>1</v>
      </c>
      <c r="P613">
        <v>4</v>
      </c>
      <c r="Q613">
        <v>0</v>
      </c>
      <c r="R613">
        <v>0</v>
      </c>
      <c r="S613">
        <v>1</v>
      </c>
      <c r="T613">
        <v>1</v>
      </c>
      <c r="U613" s="1" t="s">
        <v>690</v>
      </c>
      <c r="V613" s="1" t="s">
        <v>127</v>
      </c>
      <c r="W613" s="1">
        <f t="shared" si="9"/>
        <v>47.46</v>
      </c>
      <c r="X613" s="1" t="s">
        <v>691</v>
      </c>
      <c r="Y613">
        <v>1</v>
      </c>
      <c r="Z613">
        <v>1</v>
      </c>
      <c r="AA613">
        <v>73</v>
      </c>
    </row>
    <row r="614" spans="1:27" x14ac:dyDescent="0.3">
      <c r="A614" s="1" t="s">
        <v>2469</v>
      </c>
      <c r="B614">
        <v>613</v>
      </c>
      <c r="C614" s="1" t="s">
        <v>2470</v>
      </c>
      <c r="D614" s="1" t="s">
        <v>2471</v>
      </c>
      <c r="E614" s="1" t="s">
        <v>29</v>
      </c>
      <c r="F614" s="1" t="s">
        <v>131</v>
      </c>
      <c r="G614" s="1" t="s">
        <v>840</v>
      </c>
      <c r="H614" s="1" t="s">
        <v>55</v>
      </c>
      <c r="I614" s="1" t="s">
        <v>32</v>
      </c>
      <c r="J614" s="1" t="s">
        <v>41</v>
      </c>
      <c r="K614" s="1" t="s">
        <v>696</v>
      </c>
      <c r="L614">
        <v>2</v>
      </c>
      <c r="M614">
        <v>0</v>
      </c>
      <c r="N614">
        <v>0</v>
      </c>
      <c r="O614">
        <v>2</v>
      </c>
      <c r="P614">
        <v>2</v>
      </c>
      <c r="Q614">
        <v>0</v>
      </c>
      <c r="R614">
        <v>0</v>
      </c>
      <c r="S614">
        <v>1</v>
      </c>
      <c r="T614">
        <v>1</v>
      </c>
      <c r="U614" s="1" t="s">
        <v>697</v>
      </c>
      <c r="V614" s="1" t="s">
        <v>288</v>
      </c>
      <c r="W614" s="1">
        <f t="shared" si="9"/>
        <v>301.70999999999998</v>
      </c>
      <c r="X614" s="1" t="s">
        <v>698</v>
      </c>
      <c r="Y614">
        <v>1</v>
      </c>
      <c r="Z614">
        <v>1</v>
      </c>
      <c r="AA614">
        <v>74</v>
      </c>
    </row>
    <row r="615" spans="1:27" x14ac:dyDescent="0.3">
      <c r="A615" s="1" t="s">
        <v>2472</v>
      </c>
      <c r="B615">
        <v>614</v>
      </c>
      <c r="C615" s="1" t="s">
        <v>2473</v>
      </c>
      <c r="D615" s="1" t="s">
        <v>140</v>
      </c>
      <c r="E615" s="1" t="s">
        <v>39</v>
      </c>
      <c r="F615" s="1" t="s">
        <v>140</v>
      </c>
      <c r="G615" s="1" t="s">
        <v>844</v>
      </c>
      <c r="H615" s="1" t="s">
        <v>63</v>
      </c>
      <c r="I615" s="1" t="s">
        <v>32</v>
      </c>
      <c r="J615" s="1" t="s">
        <v>32</v>
      </c>
      <c r="K615" s="1" t="s">
        <v>1447</v>
      </c>
      <c r="L615">
        <v>2</v>
      </c>
      <c r="M615">
        <v>0</v>
      </c>
      <c r="N615">
        <v>0</v>
      </c>
      <c r="O615">
        <v>3</v>
      </c>
      <c r="P615">
        <v>2</v>
      </c>
      <c r="Q615">
        <v>0</v>
      </c>
      <c r="R615">
        <v>0</v>
      </c>
      <c r="S615">
        <v>1</v>
      </c>
      <c r="T615">
        <v>1</v>
      </c>
      <c r="U615" s="1" t="s">
        <v>1448</v>
      </c>
      <c r="V615" s="1" t="s">
        <v>706</v>
      </c>
      <c r="W615" s="1">
        <f t="shared" si="9"/>
        <v>195.94</v>
      </c>
      <c r="X615" s="1" t="s">
        <v>776</v>
      </c>
      <c r="Y615">
        <v>1</v>
      </c>
      <c r="Z615">
        <v>1</v>
      </c>
      <c r="AA615">
        <v>75</v>
      </c>
    </row>
    <row r="616" spans="1:27" x14ac:dyDescent="0.3">
      <c r="A616" s="1" t="s">
        <v>2474</v>
      </c>
      <c r="B616">
        <v>615</v>
      </c>
      <c r="C616" s="1" t="s">
        <v>2475</v>
      </c>
      <c r="D616" s="1" t="s">
        <v>2476</v>
      </c>
      <c r="E616" s="1" t="s">
        <v>41</v>
      </c>
      <c r="F616" s="1" t="s">
        <v>149</v>
      </c>
      <c r="G616" s="1" t="s">
        <v>851</v>
      </c>
      <c r="H616" s="1" t="s">
        <v>74</v>
      </c>
      <c r="I616" s="1" t="s">
        <v>32</v>
      </c>
      <c r="J616" s="1" t="s">
        <v>74</v>
      </c>
      <c r="K616" s="1" t="s">
        <v>2477</v>
      </c>
      <c r="L616">
        <v>2</v>
      </c>
      <c r="M616">
        <v>0</v>
      </c>
      <c r="N616">
        <v>0</v>
      </c>
      <c r="O616">
        <v>4</v>
      </c>
      <c r="P616">
        <v>2</v>
      </c>
      <c r="Q616">
        <v>0</v>
      </c>
      <c r="R616">
        <v>0</v>
      </c>
      <c r="S616">
        <v>1</v>
      </c>
      <c r="T616">
        <v>1</v>
      </c>
      <c r="U616" s="1" t="s">
        <v>2477</v>
      </c>
      <c r="V616" s="1" t="s">
        <v>232</v>
      </c>
      <c r="W616" s="1">
        <f t="shared" si="9"/>
        <v>56.95</v>
      </c>
      <c r="X616" s="1" t="s">
        <v>2478</v>
      </c>
      <c r="Y616">
        <v>1</v>
      </c>
      <c r="Z616">
        <v>1</v>
      </c>
      <c r="AA616">
        <v>76</v>
      </c>
    </row>
    <row r="617" spans="1:27" x14ac:dyDescent="0.3">
      <c r="A617" s="1" t="s">
        <v>2479</v>
      </c>
      <c r="B617">
        <v>616</v>
      </c>
      <c r="C617" s="1" t="s">
        <v>2480</v>
      </c>
      <c r="D617" s="1" t="s">
        <v>2481</v>
      </c>
      <c r="E617" s="1" t="s">
        <v>32</v>
      </c>
      <c r="F617" s="1" t="s">
        <v>157</v>
      </c>
      <c r="G617" s="1" t="s">
        <v>858</v>
      </c>
      <c r="H617" s="1" t="s">
        <v>29</v>
      </c>
      <c r="I617" s="1" t="s">
        <v>32</v>
      </c>
      <c r="J617" s="1" t="s">
        <v>29</v>
      </c>
      <c r="K617" s="1" t="s">
        <v>719</v>
      </c>
      <c r="L617">
        <v>3</v>
      </c>
      <c r="M617">
        <v>1</v>
      </c>
      <c r="N617">
        <v>0</v>
      </c>
      <c r="O617">
        <v>5</v>
      </c>
      <c r="P617">
        <v>4</v>
      </c>
      <c r="Q617">
        <v>0</v>
      </c>
      <c r="R617">
        <v>0</v>
      </c>
      <c r="S617">
        <v>1</v>
      </c>
      <c r="T617">
        <v>1</v>
      </c>
      <c r="U617" s="1" t="s">
        <v>720</v>
      </c>
      <c r="V617" s="1" t="s">
        <v>161</v>
      </c>
      <c r="W617" s="1">
        <f t="shared" si="9"/>
        <v>66.67</v>
      </c>
      <c r="X617" s="1" t="s">
        <v>721</v>
      </c>
      <c r="Y617">
        <v>1</v>
      </c>
      <c r="Z617">
        <v>1</v>
      </c>
      <c r="AA617">
        <v>77</v>
      </c>
    </row>
    <row r="618" spans="1:27" x14ac:dyDescent="0.3">
      <c r="A618" s="1" t="s">
        <v>2482</v>
      </c>
      <c r="B618">
        <v>617</v>
      </c>
      <c r="C618" s="1" t="s">
        <v>2483</v>
      </c>
      <c r="D618" s="1" t="s">
        <v>2484</v>
      </c>
      <c r="E618" s="1" t="s">
        <v>29</v>
      </c>
      <c r="F618" s="1" t="s">
        <v>165</v>
      </c>
      <c r="G618" s="1" t="s">
        <v>862</v>
      </c>
      <c r="H618" s="1" t="s">
        <v>32</v>
      </c>
      <c r="I618" s="1" t="s">
        <v>32</v>
      </c>
      <c r="J618" s="1" t="s">
        <v>75</v>
      </c>
      <c r="K618" s="1" t="s">
        <v>725</v>
      </c>
      <c r="L618">
        <v>3</v>
      </c>
      <c r="M618">
        <v>0</v>
      </c>
      <c r="N618">
        <v>0</v>
      </c>
      <c r="O618">
        <v>6</v>
      </c>
      <c r="P618">
        <v>3</v>
      </c>
      <c r="Q618">
        <v>0</v>
      </c>
      <c r="R618">
        <v>0</v>
      </c>
      <c r="S618">
        <v>1</v>
      </c>
      <c r="T618">
        <v>1</v>
      </c>
      <c r="U618" s="1" t="s">
        <v>726</v>
      </c>
      <c r="V618" s="1" t="s">
        <v>169</v>
      </c>
      <c r="W618" s="1">
        <f t="shared" si="9"/>
        <v>270.07</v>
      </c>
      <c r="X618" s="1" t="s">
        <v>727</v>
      </c>
      <c r="Y618">
        <v>1</v>
      </c>
      <c r="Z618">
        <v>1</v>
      </c>
      <c r="AA618">
        <v>78</v>
      </c>
    </row>
    <row r="619" spans="1:27" x14ac:dyDescent="0.3">
      <c r="A619" s="1" t="s">
        <v>2485</v>
      </c>
      <c r="B619">
        <v>618</v>
      </c>
      <c r="C619" s="1" t="s">
        <v>2486</v>
      </c>
      <c r="D619" s="1" t="s">
        <v>2487</v>
      </c>
      <c r="E619" s="1" t="s">
        <v>39</v>
      </c>
      <c r="F619" s="1" t="s">
        <v>174</v>
      </c>
      <c r="G619" s="1" t="s">
        <v>868</v>
      </c>
      <c r="H619" s="1" t="s">
        <v>41</v>
      </c>
      <c r="I619" s="1" t="s">
        <v>32</v>
      </c>
      <c r="J619" s="1" t="s">
        <v>41</v>
      </c>
      <c r="K619" s="1" t="s">
        <v>731</v>
      </c>
      <c r="L619">
        <v>3</v>
      </c>
      <c r="M619">
        <v>2</v>
      </c>
      <c r="N619">
        <v>0</v>
      </c>
      <c r="O619">
        <v>1</v>
      </c>
      <c r="P619">
        <v>5</v>
      </c>
      <c r="Q619">
        <v>0</v>
      </c>
      <c r="R619">
        <v>0</v>
      </c>
      <c r="S619">
        <v>1</v>
      </c>
      <c r="T619">
        <v>1</v>
      </c>
      <c r="U619" s="1" t="s">
        <v>731</v>
      </c>
      <c r="V619" s="1" t="s">
        <v>177</v>
      </c>
      <c r="W619" s="1">
        <f t="shared" si="9"/>
        <v>61.02</v>
      </c>
      <c r="X619" s="1" t="s">
        <v>732</v>
      </c>
      <c r="Y619">
        <v>1</v>
      </c>
      <c r="Z619">
        <v>1</v>
      </c>
      <c r="AA619">
        <v>79</v>
      </c>
    </row>
    <row r="620" spans="1:27" x14ac:dyDescent="0.3">
      <c r="A620" s="1" t="s">
        <v>2488</v>
      </c>
      <c r="B620">
        <v>619</v>
      </c>
      <c r="C620" s="1" t="s">
        <v>2489</v>
      </c>
      <c r="D620" s="1" t="s">
        <v>2490</v>
      </c>
      <c r="E620" s="1" t="s">
        <v>41</v>
      </c>
      <c r="F620" s="1" t="s">
        <v>181</v>
      </c>
      <c r="G620" s="1" t="s">
        <v>873</v>
      </c>
      <c r="H620" s="1" t="s">
        <v>48</v>
      </c>
      <c r="I620" s="1" t="s">
        <v>32</v>
      </c>
      <c r="J620" s="1" t="s">
        <v>32</v>
      </c>
      <c r="K620" s="1" t="s">
        <v>804</v>
      </c>
      <c r="L620">
        <v>3</v>
      </c>
      <c r="M620">
        <v>0</v>
      </c>
      <c r="N620">
        <v>0</v>
      </c>
      <c r="O620">
        <v>2</v>
      </c>
      <c r="P620">
        <v>3</v>
      </c>
      <c r="Q620">
        <v>0</v>
      </c>
      <c r="R620">
        <v>0</v>
      </c>
      <c r="S620">
        <v>1</v>
      </c>
      <c r="T620">
        <v>1</v>
      </c>
      <c r="U620" s="1" t="s">
        <v>805</v>
      </c>
      <c r="V620" s="1" t="s">
        <v>87</v>
      </c>
      <c r="W620" s="1">
        <f t="shared" si="9"/>
        <v>274.58999999999997</v>
      </c>
      <c r="X620" s="1" t="s">
        <v>659</v>
      </c>
      <c r="Y620">
        <v>1</v>
      </c>
      <c r="Z620">
        <v>1</v>
      </c>
      <c r="AA620">
        <v>80</v>
      </c>
    </row>
    <row r="621" spans="1:27" x14ac:dyDescent="0.3">
      <c r="A621" s="1" t="s">
        <v>2491</v>
      </c>
      <c r="B621">
        <v>620</v>
      </c>
      <c r="C621" s="1" t="s">
        <v>2492</v>
      </c>
      <c r="D621" s="1" t="s">
        <v>2493</v>
      </c>
      <c r="E621" s="1" t="s">
        <v>32</v>
      </c>
      <c r="F621" s="1" t="s">
        <v>188</v>
      </c>
      <c r="G621" s="1" t="s">
        <v>880</v>
      </c>
      <c r="H621" s="1" t="s">
        <v>55</v>
      </c>
      <c r="I621" s="1" t="s">
        <v>32</v>
      </c>
      <c r="J621" s="1" t="s">
        <v>74</v>
      </c>
      <c r="K621" s="1" t="s">
        <v>2494</v>
      </c>
      <c r="L621">
        <v>1</v>
      </c>
      <c r="M621">
        <v>1</v>
      </c>
      <c r="N621">
        <v>0</v>
      </c>
      <c r="O621">
        <v>3</v>
      </c>
      <c r="P621">
        <v>2</v>
      </c>
      <c r="Q621">
        <v>0</v>
      </c>
      <c r="R621">
        <v>0</v>
      </c>
      <c r="S621">
        <v>1</v>
      </c>
      <c r="T621">
        <v>1</v>
      </c>
      <c r="U621" s="1" t="s">
        <v>2495</v>
      </c>
      <c r="V621" s="1" t="s">
        <v>257</v>
      </c>
      <c r="W621" s="1">
        <f t="shared" si="9"/>
        <v>222.95</v>
      </c>
      <c r="X621" s="1" t="s">
        <v>883</v>
      </c>
      <c r="Y621">
        <v>1</v>
      </c>
      <c r="Z621">
        <v>1</v>
      </c>
      <c r="AA621">
        <v>81</v>
      </c>
    </row>
    <row r="622" spans="1:27" x14ac:dyDescent="0.3">
      <c r="A622" s="1" t="s">
        <v>2496</v>
      </c>
      <c r="B622">
        <v>621</v>
      </c>
      <c r="C622" s="1" t="s">
        <v>2497</v>
      </c>
      <c r="D622" s="1" t="s">
        <v>28</v>
      </c>
      <c r="E622" s="1" t="s">
        <v>29</v>
      </c>
      <c r="F622" s="1" t="s">
        <v>197</v>
      </c>
      <c r="G622" s="1" t="s">
        <v>887</v>
      </c>
      <c r="H622" s="1" t="s">
        <v>63</v>
      </c>
      <c r="I622" s="1" t="s">
        <v>33</v>
      </c>
      <c r="J622" s="1" t="s">
        <v>33</v>
      </c>
      <c r="K622" s="1" t="s">
        <v>34</v>
      </c>
      <c r="L622">
        <v>1</v>
      </c>
      <c r="M622">
        <v>0</v>
      </c>
      <c r="N622">
        <v>0</v>
      </c>
      <c r="O622">
        <v>4</v>
      </c>
      <c r="P622">
        <v>1</v>
      </c>
      <c r="Q622">
        <v>1</v>
      </c>
      <c r="R622">
        <v>0</v>
      </c>
      <c r="S622">
        <v>0</v>
      </c>
      <c r="T622">
        <v>0</v>
      </c>
      <c r="U622" s="1" t="s">
        <v>2083</v>
      </c>
      <c r="V622" s="1">
        <v>0</v>
      </c>
      <c r="W622" s="1">
        <f t="shared" si="9"/>
        <v>0</v>
      </c>
      <c r="X622" s="1" t="s">
        <v>2083</v>
      </c>
      <c r="Y622">
        <v>1</v>
      </c>
      <c r="Z622">
        <v>0</v>
      </c>
      <c r="AA622">
        <v>82</v>
      </c>
    </row>
    <row r="623" spans="1:27" x14ac:dyDescent="0.3">
      <c r="A623" s="1" t="s">
        <v>2498</v>
      </c>
      <c r="B623">
        <v>622</v>
      </c>
      <c r="C623" s="1" t="s">
        <v>2499</v>
      </c>
      <c r="D623" s="1" t="s">
        <v>38</v>
      </c>
      <c r="E623" s="1" t="s">
        <v>39</v>
      </c>
      <c r="F623" s="1" t="s">
        <v>202</v>
      </c>
      <c r="G623" s="1" t="s">
        <v>891</v>
      </c>
      <c r="H623" s="1" t="s">
        <v>74</v>
      </c>
      <c r="I623" s="1" t="s">
        <v>33</v>
      </c>
      <c r="J623" s="1" t="s">
        <v>33</v>
      </c>
      <c r="K623" s="1" t="s">
        <v>34</v>
      </c>
      <c r="L623">
        <v>1</v>
      </c>
      <c r="M623">
        <v>0</v>
      </c>
      <c r="N623">
        <v>0</v>
      </c>
      <c r="O623">
        <v>5</v>
      </c>
      <c r="P623">
        <v>1</v>
      </c>
      <c r="Q623">
        <v>1</v>
      </c>
      <c r="R623">
        <v>0</v>
      </c>
      <c r="S623">
        <v>0</v>
      </c>
      <c r="T623">
        <v>0</v>
      </c>
      <c r="U623" s="1">
        <v>1130</v>
      </c>
      <c r="V623" s="1">
        <v>0</v>
      </c>
      <c r="W623" s="1">
        <f t="shared" si="9"/>
        <v>0</v>
      </c>
      <c r="X623" s="1">
        <v>1130</v>
      </c>
      <c r="Y623">
        <v>1</v>
      </c>
      <c r="Z623">
        <v>0</v>
      </c>
      <c r="AA623">
        <v>83</v>
      </c>
    </row>
    <row r="624" spans="1:27" x14ac:dyDescent="0.3">
      <c r="A624" s="1" t="s">
        <v>2500</v>
      </c>
      <c r="B624">
        <v>623</v>
      </c>
      <c r="C624" s="1" t="s">
        <v>2501</v>
      </c>
      <c r="D624" s="1" t="s">
        <v>45</v>
      </c>
      <c r="E624" s="1" t="s">
        <v>41</v>
      </c>
      <c r="F624" s="1" t="s">
        <v>45</v>
      </c>
      <c r="G624" s="1" t="s">
        <v>894</v>
      </c>
      <c r="H624" s="1" t="s">
        <v>29</v>
      </c>
      <c r="I624" s="1" t="s">
        <v>33</v>
      </c>
      <c r="J624" s="1" t="s">
        <v>33</v>
      </c>
      <c r="K624" s="1" t="s">
        <v>34</v>
      </c>
      <c r="L624">
        <v>2</v>
      </c>
      <c r="M624">
        <v>0</v>
      </c>
      <c r="N624">
        <v>0</v>
      </c>
      <c r="O624">
        <v>6</v>
      </c>
      <c r="P624">
        <v>2</v>
      </c>
      <c r="Q624">
        <v>1</v>
      </c>
      <c r="R624">
        <v>0</v>
      </c>
      <c r="S624">
        <v>0</v>
      </c>
      <c r="T624">
        <v>0</v>
      </c>
      <c r="U624" s="1" t="s">
        <v>895</v>
      </c>
      <c r="V624" s="1">
        <v>0</v>
      </c>
      <c r="W624" s="1">
        <f t="shared" si="9"/>
        <v>0</v>
      </c>
      <c r="X624" s="1" t="s">
        <v>895</v>
      </c>
      <c r="Y624">
        <v>1</v>
      </c>
      <c r="Z624">
        <v>0</v>
      </c>
      <c r="AA624">
        <v>84</v>
      </c>
    </row>
    <row r="625" spans="1:27" x14ac:dyDescent="0.3">
      <c r="A625" s="1" t="s">
        <v>2502</v>
      </c>
      <c r="B625">
        <v>624</v>
      </c>
      <c r="C625" s="1" t="s">
        <v>2503</v>
      </c>
      <c r="D625" s="1" t="s">
        <v>52</v>
      </c>
      <c r="E625" s="1" t="s">
        <v>32</v>
      </c>
      <c r="F625" s="1" t="s">
        <v>211</v>
      </c>
      <c r="G625" s="1" t="s">
        <v>52</v>
      </c>
      <c r="H625" s="1" t="s">
        <v>32</v>
      </c>
      <c r="I625" s="1" t="s">
        <v>56</v>
      </c>
      <c r="J625" s="1" t="s">
        <v>33</v>
      </c>
      <c r="K625" s="1" t="s">
        <v>34</v>
      </c>
      <c r="L625">
        <v>2</v>
      </c>
      <c r="M625">
        <v>2</v>
      </c>
      <c r="N625">
        <v>1</v>
      </c>
      <c r="O625">
        <v>1</v>
      </c>
      <c r="P625">
        <v>5</v>
      </c>
      <c r="Q625">
        <v>0</v>
      </c>
      <c r="R625">
        <v>1</v>
      </c>
      <c r="S625">
        <v>0</v>
      </c>
      <c r="T625">
        <v>0</v>
      </c>
      <c r="U625" s="1" t="s">
        <v>973</v>
      </c>
      <c r="V625" s="1">
        <v>0</v>
      </c>
      <c r="W625" s="1">
        <f t="shared" si="9"/>
        <v>0</v>
      </c>
      <c r="X625" s="1" t="s">
        <v>973</v>
      </c>
      <c r="Y625">
        <v>1</v>
      </c>
      <c r="Z625">
        <v>0</v>
      </c>
      <c r="AA625">
        <v>85</v>
      </c>
    </row>
    <row r="626" spans="1:27" x14ac:dyDescent="0.3">
      <c r="A626" s="1" t="s">
        <v>2504</v>
      </c>
      <c r="B626">
        <v>625</v>
      </c>
      <c r="C626" s="1" t="s">
        <v>2505</v>
      </c>
      <c r="D626" s="1" t="s">
        <v>60</v>
      </c>
      <c r="E626" s="1" t="s">
        <v>29</v>
      </c>
      <c r="F626" s="1" t="s">
        <v>215</v>
      </c>
      <c r="G626" s="1" t="s">
        <v>61</v>
      </c>
      <c r="H626" s="1" t="s">
        <v>41</v>
      </c>
      <c r="I626" s="1" t="s">
        <v>64</v>
      </c>
      <c r="J626" s="1" t="s">
        <v>75</v>
      </c>
      <c r="K626" s="1" t="s">
        <v>904</v>
      </c>
      <c r="L626">
        <v>2</v>
      </c>
      <c r="M626">
        <v>0</v>
      </c>
      <c r="N626">
        <v>0</v>
      </c>
      <c r="O626">
        <v>2</v>
      </c>
      <c r="P626">
        <v>2</v>
      </c>
      <c r="Q626">
        <v>0</v>
      </c>
      <c r="R626">
        <v>0</v>
      </c>
      <c r="S626">
        <v>0</v>
      </c>
      <c r="T626">
        <v>0</v>
      </c>
      <c r="U626" s="1" t="s">
        <v>905</v>
      </c>
      <c r="V626" s="1" t="s">
        <v>219</v>
      </c>
      <c r="W626" s="1">
        <f t="shared" si="9"/>
        <v>206.79</v>
      </c>
      <c r="X626" s="1" t="s">
        <v>906</v>
      </c>
      <c r="Y626">
        <v>1</v>
      </c>
      <c r="Z626">
        <v>0</v>
      </c>
      <c r="AA626">
        <v>86</v>
      </c>
    </row>
    <row r="627" spans="1:27" x14ac:dyDescent="0.3">
      <c r="A627" s="1" t="s">
        <v>2506</v>
      </c>
      <c r="B627">
        <v>626</v>
      </c>
      <c r="C627" s="1" t="s">
        <v>2507</v>
      </c>
      <c r="D627" s="1" t="s">
        <v>71</v>
      </c>
      <c r="E627" s="1" t="s">
        <v>39</v>
      </c>
      <c r="F627" s="1" t="s">
        <v>71</v>
      </c>
      <c r="G627" s="1" t="s">
        <v>71</v>
      </c>
      <c r="H627" s="1" t="s">
        <v>48</v>
      </c>
      <c r="I627" s="1" t="s">
        <v>64</v>
      </c>
      <c r="J627" s="1" t="s">
        <v>41</v>
      </c>
      <c r="K627" s="1" t="s">
        <v>2508</v>
      </c>
      <c r="L627">
        <v>3</v>
      </c>
      <c r="M627">
        <v>0</v>
      </c>
      <c r="N627">
        <v>0</v>
      </c>
      <c r="O627">
        <v>3</v>
      </c>
      <c r="P627">
        <v>3</v>
      </c>
      <c r="Q627">
        <v>0</v>
      </c>
      <c r="R627">
        <v>0</v>
      </c>
      <c r="S627">
        <v>0</v>
      </c>
      <c r="T627">
        <v>0</v>
      </c>
      <c r="U627" s="1" t="s">
        <v>2083</v>
      </c>
      <c r="V627" s="1" t="s">
        <v>226</v>
      </c>
      <c r="W627" s="1">
        <f t="shared" si="9"/>
        <v>94.92</v>
      </c>
      <c r="X627" s="1">
        <v>678</v>
      </c>
      <c r="Y627">
        <v>1</v>
      </c>
      <c r="Z627">
        <v>0</v>
      </c>
      <c r="AA627">
        <v>87</v>
      </c>
    </row>
    <row r="628" spans="1:27" x14ac:dyDescent="0.3">
      <c r="A628" s="1" t="s">
        <v>2509</v>
      </c>
      <c r="B628">
        <v>627</v>
      </c>
      <c r="C628" s="1" t="s">
        <v>2510</v>
      </c>
      <c r="D628" s="1" t="s">
        <v>82</v>
      </c>
      <c r="E628" s="1" t="s">
        <v>41</v>
      </c>
      <c r="F628" s="1" t="s">
        <v>230</v>
      </c>
      <c r="G628" s="1" t="s">
        <v>83</v>
      </c>
      <c r="H628" s="1" t="s">
        <v>55</v>
      </c>
      <c r="I628" s="1" t="s">
        <v>32</v>
      </c>
      <c r="J628" s="1" t="s">
        <v>41</v>
      </c>
      <c r="K628" s="1" t="s">
        <v>917</v>
      </c>
      <c r="L628">
        <v>3</v>
      </c>
      <c r="M628">
        <v>0</v>
      </c>
      <c r="N628">
        <v>0</v>
      </c>
      <c r="O628">
        <v>4</v>
      </c>
      <c r="P628">
        <v>3</v>
      </c>
      <c r="Q628">
        <v>0</v>
      </c>
      <c r="R628">
        <v>0</v>
      </c>
      <c r="S628">
        <v>1</v>
      </c>
      <c r="T628">
        <v>1</v>
      </c>
      <c r="U628" s="1" t="s">
        <v>917</v>
      </c>
      <c r="V628" s="1" t="s">
        <v>152</v>
      </c>
      <c r="W628" s="1">
        <f t="shared" si="9"/>
        <v>63.28</v>
      </c>
      <c r="X628" s="1" t="s">
        <v>918</v>
      </c>
      <c r="Y628">
        <v>1</v>
      </c>
      <c r="Z628">
        <v>1</v>
      </c>
      <c r="AA628">
        <v>88</v>
      </c>
    </row>
    <row r="629" spans="1:27" x14ac:dyDescent="0.3">
      <c r="A629" s="1" t="s">
        <v>2511</v>
      </c>
      <c r="B629">
        <v>628</v>
      </c>
      <c r="C629" s="1" t="s">
        <v>2512</v>
      </c>
      <c r="D629" s="1" t="s">
        <v>91</v>
      </c>
      <c r="E629" s="1" t="s">
        <v>32</v>
      </c>
      <c r="F629" s="1" t="s">
        <v>237</v>
      </c>
      <c r="G629" s="1" t="s">
        <v>923</v>
      </c>
      <c r="H629" s="1" t="s">
        <v>63</v>
      </c>
      <c r="I629" s="1" t="s">
        <v>32</v>
      </c>
      <c r="J629" s="1" t="s">
        <v>32</v>
      </c>
      <c r="K629" s="1" t="s">
        <v>2513</v>
      </c>
      <c r="L629">
        <v>3</v>
      </c>
      <c r="M629">
        <v>1</v>
      </c>
      <c r="N629">
        <v>0</v>
      </c>
      <c r="O629">
        <v>5</v>
      </c>
      <c r="P629">
        <v>4</v>
      </c>
      <c r="Q629">
        <v>0</v>
      </c>
      <c r="R629">
        <v>0</v>
      </c>
      <c r="S629">
        <v>1</v>
      </c>
      <c r="T629">
        <v>1</v>
      </c>
      <c r="U629" s="1" t="s">
        <v>726</v>
      </c>
      <c r="V629" s="1" t="s">
        <v>304</v>
      </c>
      <c r="W629" s="1">
        <f t="shared" si="9"/>
        <v>64.41</v>
      </c>
      <c r="X629" s="1">
        <v>1243</v>
      </c>
      <c r="Y629">
        <v>1</v>
      </c>
      <c r="Z629">
        <v>1</v>
      </c>
      <c r="AA629">
        <v>89</v>
      </c>
    </row>
    <row r="630" spans="1:27" x14ac:dyDescent="0.3">
      <c r="A630" s="1" t="s">
        <v>2514</v>
      </c>
      <c r="B630">
        <v>629</v>
      </c>
      <c r="C630" s="1" t="s">
        <v>2515</v>
      </c>
      <c r="D630" s="1" t="s">
        <v>100</v>
      </c>
      <c r="E630" s="1" t="s">
        <v>29</v>
      </c>
      <c r="F630" s="1" t="s">
        <v>102</v>
      </c>
      <c r="G630" s="1" t="s">
        <v>929</v>
      </c>
      <c r="H630" s="1" t="s">
        <v>74</v>
      </c>
      <c r="I630" s="1" t="s">
        <v>32</v>
      </c>
      <c r="J630" s="1" t="s">
        <v>74</v>
      </c>
      <c r="K630" s="1" t="s">
        <v>2516</v>
      </c>
      <c r="L630">
        <v>3</v>
      </c>
      <c r="M630">
        <v>0</v>
      </c>
      <c r="N630">
        <v>0</v>
      </c>
      <c r="O630">
        <v>6</v>
      </c>
      <c r="P630">
        <v>3</v>
      </c>
      <c r="Q630">
        <v>0</v>
      </c>
      <c r="R630">
        <v>0</v>
      </c>
      <c r="S630">
        <v>1</v>
      </c>
      <c r="T630">
        <v>1</v>
      </c>
      <c r="U630" s="1" t="s">
        <v>2517</v>
      </c>
      <c r="V630" s="1" t="s">
        <v>1190</v>
      </c>
      <c r="W630" s="1">
        <f t="shared" si="9"/>
        <v>267.81</v>
      </c>
      <c r="X630" s="1" t="s">
        <v>932</v>
      </c>
      <c r="Y630">
        <v>1</v>
      </c>
      <c r="Z630">
        <v>1</v>
      </c>
      <c r="AA630">
        <v>90</v>
      </c>
    </row>
    <row r="631" spans="1:27" x14ac:dyDescent="0.3">
      <c r="A631" s="1" t="s">
        <v>2518</v>
      </c>
      <c r="B631">
        <v>630</v>
      </c>
      <c r="C631" s="1" t="s">
        <v>2519</v>
      </c>
      <c r="D631" s="1" t="s">
        <v>108</v>
      </c>
      <c r="E631" s="1" t="s">
        <v>39</v>
      </c>
      <c r="F631" s="1" t="s">
        <v>245</v>
      </c>
      <c r="G631" s="1" t="s">
        <v>935</v>
      </c>
      <c r="H631" s="1" t="s">
        <v>29</v>
      </c>
      <c r="I631" s="1" t="s">
        <v>32</v>
      </c>
      <c r="J631" s="1" t="s">
        <v>29</v>
      </c>
      <c r="K631" s="1" t="s">
        <v>936</v>
      </c>
      <c r="L631">
        <v>1</v>
      </c>
      <c r="M631">
        <v>2</v>
      </c>
      <c r="N631">
        <v>0</v>
      </c>
      <c r="O631">
        <v>1</v>
      </c>
      <c r="P631">
        <v>3</v>
      </c>
      <c r="Q631">
        <v>0</v>
      </c>
      <c r="R631">
        <v>0</v>
      </c>
      <c r="S631">
        <v>1</v>
      </c>
      <c r="T631">
        <v>1</v>
      </c>
      <c r="U631" s="1" t="s">
        <v>936</v>
      </c>
      <c r="V631" s="1" t="s">
        <v>177</v>
      </c>
      <c r="W631" s="1">
        <f t="shared" si="9"/>
        <v>61.02</v>
      </c>
      <c r="X631" s="1" t="s">
        <v>937</v>
      </c>
      <c r="Y631">
        <v>1</v>
      </c>
      <c r="Z631">
        <v>1</v>
      </c>
      <c r="AA631">
        <v>1</v>
      </c>
    </row>
    <row r="632" spans="1:27" x14ac:dyDescent="0.3">
      <c r="A632" s="1" t="s">
        <v>2520</v>
      </c>
      <c r="B632">
        <v>631</v>
      </c>
      <c r="C632" s="1" t="s">
        <v>2521</v>
      </c>
      <c r="D632" s="1" t="s">
        <v>115</v>
      </c>
      <c r="E632" s="1" t="s">
        <v>41</v>
      </c>
      <c r="F632" s="1" t="s">
        <v>250</v>
      </c>
      <c r="G632" s="1" t="s">
        <v>941</v>
      </c>
      <c r="H632" s="1" t="s">
        <v>32</v>
      </c>
      <c r="I632" s="1" t="s">
        <v>32</v>
      </c>
      <c r="J632" s="1" t="s">
        <v>75</v>
      </c>
      <c r="K632" s="1" t="s">
        <v>942</v>
      </c>
      <c r="L632">
        <v>1</v>
      </c>
      <c r="M632">
        <v>0</v>
      </c>
      <c r="N632">
        <v>0</v>
      </c>
      <c r="O632">
        <v>2</v>
      </c>
      <c r="P632">
        <v>1</v>
      </c>
      <c r="Q632">
        <v>0</v>
      </c>
      <c r="R632">
        <v>0</v>
      </c>
      <c r="S632">
        <v>1</v>
      </c>
      <c r="T632">
        <v>1</v>
      </c>
      <c r="U632" s="1" t="s">
        <v>943</v>
      </c>
      <c r="V632" s="1" t="s">
        <v>87</v>
      </c>
      <c r="W632" s="1">
        <f t="shared" si="9"/>
        <v>274.58999999999997</v>
      </c>
      <c r="X632" s="1" t="s">
        <v>944</v>
      </c>
      <c r="Y632">
        <v>1</v>
      </c>
      <c r="Z632">
        <v>1</v>
      </c>
      <c r="AA632">
        <v>2</v>
      </c>
    </row>
    <row r="633" spans="1:27" x14ac:dyDescent="0.3">
      <c r="A633" s="1" t="s">
        <v>2522</v>
      </c>
      <c r="B633">
        <v>632</v>
      </c>
      <c r="C633" s="1" t="s">
        <v>2523</v>
      </c>
      <c r="D633" s="1" t="s">
        <v>124</v>
      </c>
      <c r="E633" s="1" t="s">
        <v>32</v>
      </c>
      <c r="F633" s="1" t="s">
        <v>124</v>
      </c>
      <c r="G633" s="1" t="s">
        <v>124</v>
      </c>
      <c r="H633" s="1" t="s">
        <v>41</v>
      </c>
      <c r="I633" s="1" t="s">
        <v>32</v>
      </c>
      <c r="J633" s="1" t="s">
        <v>41</v>
      </c>
      <c r="K633" s="1" t="s">
        <v>1559</v>
      </c>
      <c r="L633">
        <v>1</v>
      </c>
      <c r="M633">
        <v>1</v>
      </c>
      <c r="N633">
        <v>0</v>
      </c>
      <c r="O633">
        <v>3</v>
      </c>
      <c r="P633">
        <v>2</v>
      </c>
      <c r="Q633">
        <v>0</v>
      </c>
      <c r="R633">
        <v>0</v>
      </c>
      <c r="S633">
        <v>1</v>
      </c>
      <c r="T633">
        <v>1</v>
      </c>
      <c r="U633" s="1" t="s">
        <v>1560</v>
      </c>
      <c r="V633" s="1" t="s">
        <v>96</v>
      </c>
      <c r="W633" s="1">
        <f t="shared" si="9"/>
        <v>229.39</v>
      </c>
      <c r="X633" s="1" t="s">
        <v>1561</v>
      </c>
      <c r="Y633">
        <v>1</v>
      </c>
      <c r="Z633">
        <v>1</v>
      </c>
      <c r="AA633">
        <v>3</v>
      </c>
    </row>
    <row r="634" spans="1:27" x14ac:dyDescent="0.3">
      <c r="A634" s="1" t="s">
        <v>2524</v>
      </c>
      <c r="B634">
        <v>633</v>
      </c>
      <c r="C634" s="1" t="s">
        <v>2525</v>
      </c>
      <c r="D634" s="1" t="s">
        <v>131</v>
      </c>
      <c r="E634" s="1" t="s">
        <v>29</v>
      </c>
      <c r="F634" s="1" t="s">
        <v>261</v>
      </c>
      <c r="G634" s="1" t="s">
        <v>953</v>
      </c>
      <c r="H634" s="1" t="s">
        <v>48</v>
      </c>
      <c r="I634" s="1" t="s">
        <v>32</v>
      </c>
      <c r="J634" s="1" t="s">
        <v>32</v>
      </c>
      <c r="K634" s="1" t="s">
        <v>1565</v>
      </c>
      <c r="L634">
        <v>2</v>
      </c>
      <c r="M634">
        <v>0</v>
      </c>
      <c r="N634">
        <v>0</v>
      </c>
      <c r="O634">
        <v>4</v>
      </c>
      <c r="P634">
        <v>2</v>
      </c>
      <c r="Q634">
        <v>0</v>
      </c>
      <c r="R634">
        <v>0</v>
      </c>
      <c r="S634">
        <v>1</v>
      </c>
      <c r="T634">
        <v>1</v>
      </c>
      <c r="U634" s="1" t="s">
        <v>1565</v>
      </c>
      <c r="V634" s="1" t="s">
        <v>104</v>
      </c>
      <c r="W634" s="1">
        <f t="shared" si="9"/>
        <v>76.84</v>
      </c>
      <c r="X634" s="1" t="s">
        <v>888</v>
      </c>
      <c r="Y634">
        <v>1</v>
      </c>
      <c r="Z634">
        <v>1</v>
      </c>
      <c r="AA634">
        <v>4</v>
      </c>
    </row>
    <row r="635" spans="1:27" x14ac:dyDescent="0.3">
      <c r="A635" s="1" t="s">
        <v>2526</v>
      </c>
      <c r="B635">
        <v>634</v>
      </c>
      <c r="C635" s="1" t="s">
        <v>2527</v>
      </c>
      <c r="D635" s="1" t="s">
        <v>139</v>
      </c>
      <c r="E635" s="1" t="s">
        <v>39</v>
      </c>
      <c r="F635" s="1" t="s">
        <v>267</v>
      </c>
      <c r="G635" s="1" t="s">
        <v>959</v>
      </c>
      <c r="H635" s="1" t="s">
        <v>55</v>
      </c>
      <c r="I635" s="1" t="s">
        <v>32</v>
      </c>
      <c r="J635" s="1" t="s">
        <v>74</v>
      </c>
      <c r="K635" s="1" t="s">
        <v>960</v>
      </c>
      <c r="L635">
        <v>2</v>
      </c>
      <c r="M635">
        <v>0</v>
      </c>
      <c r="N635">
        <v>0</v>
      </c>
      <c r="O635">
        <v>5</v>
      </c>
      <c r="P635">
        <v>2</v>
      </c>
      <c r="Q635">
        <v>0</v>
      </c>
      <c r="R635">
        <v>0</v>
      </c>
      <c r="S635">
        <v>1</v>
      </c>
      <c r="T635">
        <v>1</v>
      </c>
      <c r="U635" s="1" t="s">
        <v>961</v>
      </c>
      <c r="V635" s="1" t="s">
        <v>111</v>
      </c>
      <c r="W635" s="1">
        <f t="shared" si="9"/>
        <v>80.229999999999905</v>
      </c>
      <c r="X635" s="1">
        <v>1130</v>
      </c>
      <c r="Y635">
        <v>1</v>
      </c>
      <c r="Z635">
        <v>1</v>
      </c>
      <c r="AA635">
        <v>5</v>
      </c>
    </row>
    <row r="636" spans="1:27" x14ac:dyDescent="0.3">
      <c r="A636" s="1" t="s">
        <v>2528</v>
      </c>
      <c r="B636">
        <v>635</v>
      </c>
      <c r="C636" s="1" t="s">
        <v>2529</v>
      </c>
      <c r="D636" s="1" t="s">
        <v>148</v>
      </c>
      <c r="E636" s="1" t="s">
        <v>41</v>
      </c>
      <c r="F636" s="1" t="s">
        <v>273</v>
      </c>
      <c r="G636" s="1" t="s">
        <v>149</v>
      </c>
      <c r="H636" s="1" t="s">
        <v>63</v>
      </c>
      <c r="I636" s="1" t="s">
        <v>32</v>
      </c>
      <c r="J636" s="1" t="s">
        <v>29</v>
      </c>
      <c r="K636" s="1" t="s">
        <v>2530</v>
      </c>
      <c r="L636">
        <v>2</v>
      </c>
      <c r="M636">
        <v>0</v>
      </c>
      <c r="N636">
        <v>0</v>
      </c>
      <c r="O636">
        <v>6</v>
      </c>
      <c r="P636">
        <v>2</v>
      </c>
      <c r="Q636">
        <v>0</v>
      </c>
      <c r="R636">
        <v>0</v>
      </c>
      <c r="S636">
        <v>1</v>
      </c>
      <c r="T636">
        <v>1</v>
      </c>
      <c r="U636" s="1" t="s">
        <v>2531</v>
      </c>
      <c r="V636" s="1" t="s">
        <v>345</v>
      </c>
      <c r="W636" s="1">
        <f t="shared" si="9"/>
        <v>265.32</v>
      </c>
      <c r="X636" s="1" t="s">
        <v>967</v>
      </c>
      <c r="Y636">
        <v>1</v>
      </c>
      <c r="Z636">
        <v>1</v>
      </c>
      <c r="AA636">
        <v>6</v>
      </c>
    </row>
    <row r="637" spans="1:27" x14ac:dyDescent="0.3">
      <c r="A637" s="1" t="s">
        <v>2532</v>
      </c>
      <c r="B637">
        <v>636</v>
      </c>
      <c r="C637" s="1" t="s">
        <v>2533</v>
      </c>
      <c r="D637" s="1" t="s">
        <v>156</v>
      </c>
      <c r="E637" s="1" t="s">
        <v>32</v>
      </c>
      <c r="F637" s="1" t="s">
        <v>279</v>
      </c>
      <c r="G637" s="1" t="s">
        <v>971</v>
      </c>
      <c r="H637" s="1" t="s">
        <v>74</v>
      </c>
      <c r="I637" s="1" t="s">
        <v>32</v>
      </c>
      <c r="J637" s="1" t="s">
        <v>75</v>
      </c>
      <c r="K637" s="1" t="s">
        <v>2534</v>
      </c>
      <c r="L637">
        <v>3</v>
      </c>
      <c r="M637">
        <v>2</v>
      </c>
      <c r="N637">
        <v>1</v>
      </c>
      <c r="O637">
        <v>1</v>
      </c>
      <c r="P637">
        <v>6</v>
      </c>
      <c r="Q637">
        <v>0</v>
      </c>
      <c r="R637">
        <v>0</v>
      </c>
      <c r="S637">
        <v>1</v>
      </c>
      <c r="T637">
        <v>1</v>
      </c>
      <c r="U637" s="1" t="s">
        <v>2534</v>
      </c>
      <c r="V637" s="1" t="s">
        <v>353</v>
      </c>
      <c r="W637" s="1">
        <f t="shared" si="9"/>
        <v>42.71</v>
      </c>
      <c r="X637" s="1" t="s">
        <v>973</v>
      </c>
      <c r="Y637">
        <v>1</v>
      </c>
      <c r="Z637">
        <v>1</v>
      </c>
      <c r="AA637">
        <v>7</v>
      </c>
    </row>
    <row r="638" spans="1:27" x14ac:dyDescent="0.3">
      <c r="A638" s="1" t="s">
        <v>2535</v>
      </c>
      <c r="B638">
        <v>637</v>
      </c>
      <c r="C638" s="1" t="s">
        <v>2536</v>
      </c>
      <c r="D638" s="1" t="s">
        <v>164</v>
      </c>
      <c r="E638" s="1" t="s">
        <v>29</v>
      </c>
      <c r="F638" s="1" t="s">
        <v>164</v>
      </c>
      <c r="G638" s="1" t="s">
        <v>164</v>
      </c>
      <c r="H638" s="1" t="s">
        <v>29</v>
      </c>
      <c r="I638" s="1" t="s">
        <v>32</v>
      </c>
      <c r="J638" s="1" t="s">
        <v>41</v>
      </c>
      <c r="K638" s="1" t="s">
        <v>977</v>
      </c>
      <c r="L638">
        <v>3</v>
      </c>
      <c r="M638">
        <v>0</v>
      </c>
      <c r="N638">
        <v>0</v>
      </c>
      <c r="O638">
        <v>2</v>
      </c>
      <c r="P638">
        <v>3</v>
      </c>
      <c r="Q638">
        <v>0</v>
      </c>
      <c r="R638">
        <v>0</v>
      </c>
      <c r="S638">
        <v>1</v>
      </c>
      <c r="T638">
        <v>1</v>
      </c>
      <c r="U638" s="1" t="s">
        <v>978</v>
      </c>
      <c r="V638" s="1" t="s">
        <v>288</v>
      </c>
      <c r="W638" s="1">
        <f t="shared" si="9"/>
        <v>301.70999999999998</v>
      </c>
      <c r="X638" s="1" t="s">
        <v>979</v>
      </c>
      <c r="Y638">
        <v>1</v>
      </c>
      <c r="Z638">
        <v>1</v>
      </c>
      <c r="AA638">
        <v>8</v>
      </c>
    </row>
    <row r="639" spans="1:27" x14ac:dyDescent="0.3">
      <c r="A639" s="1" t="s">
        <v>2537</v>
      </c>
      <c r="B639">
        <v>638</v>
      </c>
      <c r="C639" s="1" t="s">
        <v>2538</v>
      </c>
      <c r="D639" s="1" t="s">
        <v>173</v>
      </c>
      <c r="E639" s="1" t="s">
        <v>39</v>
      </c>
      <c r="F639" s="1" t="s">
        <v>173</v>
      </c>
      <c r="G639" s="1" t="s">
        <v>173</v>
      </c>
      <c r="H639" s="1" t="s">
        <v>32</v>
      </c>
      <c r="I639" s="1" t="s">
        <v>32</v>
      </c>
      <c r="J639" s="1" t="s">
        <v>32</v>
      </c>
      <c r="K639" s="1" t="s">
        <v>2539</v>
      </c>
      <c r="L639">
        <v>3</v>
      </c>
      <c r="M639">
        <v>0</v>
      </c>
      <c r="N639">
        <v>0</v>
      </c>
      <c r="O639">
        <v>3</v>
      </c>
      <c r="P639">
        <v>3</v>
      </c>
      <c r="Q639">
        <v>0</v>
      </c>
      <c r="R639">
        <v>0</v>
      </c>
      <c r="S639">
        <v>1</v>
      </c>
      <c r="T639">
        <v>1</v>
      </c>
      <c r="U639" s="1" t="s">
        <v>2540</v>
      </c>
      <c r="V639" s="1" t="s">
        <v>144</v>
      </c>
      <c r="W639" s="1">
        <f t="shared" si="9"/>
        <v>202.26999999999899</v>
      </c>
      <c r="X639" s="1">
        <v>678</v>
      </c>
      <c r="Y639">
        <v>1</v>
      </c>
      <c r="Z639">
        <v>1</v>
      </c>
      <c r="AA639">
        <v>9</v>
      </c>
    </row>
    <row r="640" spans="1:27" x14ac:dyDescent="0.3">
      <c r="A640" s="1" t="s">
        <v>2541</v>
      </c>
      <c r="B640">
        <v>639</v>
      </c>
      <c r="C640" s="1" t="s">
        <v>2542</v>
      </c>
      <c r="D640" s="1" t="s">
        <v>181</v>
      </c>
      <c r="E640" s="1" t="s">
        <v>41</v>
      </c>
      <c r="F640" s="1" t="s">
        <v>296</v>
      </c>
      <c r="G640" s="1" t="s">
        <v>987</v>
      </c>
      <c r="H640" s="1" t="s">
        <v>41</v>
      </c>
      <c r="I640" s="1" t="s">
        <v>32</v>
      </c>
      <c r="J640" s="1" t="s">
        <v>74</v>
      </c>
      <c r="K640" s="1" t="s">
        <v>2543</v>
      </c>
      <c r="L640">
        <v>3</v>
      </c>
      <c r="M640">
        <v>0</v>
      </c>
      <c r="N640">
        <v>0</v>
      </c>
      <c r="O640">
        <v>4</v>
      </c>
      <c r="P640">
        <v>3</v>
      </c>
      <c r="Q640">
        <v>0</v>
      </c>
      <c r="R640">
        <v>0</v>
      </c>
      <c r="S640">
        <v>1</v>
      </c>
      <c r="T640">
        <v>1</v>
      </c>
      <c r="U640" s="1" t="s">
        <v>2543</v>
      </c>
      <c r="V640" s="1" t="s">
        <v>152</v>
      </c>
      <c r="W640" s="1">
        <f t="shared" si="9"/>
        <v>63.28</v>
      </c>
      <c r="X640" s="1" t="s">
        <v>2544</v>
      </c>
      <c r="Y640">
        <v>1</v>
      </c>
      <c r="Z640">
        <v>1</v>
      </c>
      <c r="AA640">
        <v>10</v>
      </c>
    </row>
    <row r="641" spans="1:27" x14ac:dyDescent="0.3">
      <c r="A641" s="1" t="s">
        <v>2545</v>
      </c>
      <c r="B641">
        <v>640</v>
      </c>
      <c r="C641" s="1" t="s">
        <v>2546</v>
      </c>
      <c r="D641" s="1" t="s">
        <v>187</v>
      </c>
      <c r="E641" s="1" t="s">
        <v>32</v>
      </c>
      <c r="F641" s="1" t="s">
        <v>300</v>
      </c>
      <c r="G641" s="1" t="s">
        <v>990</v>
      </c>
      <c r="H641" s="1" t="s">
        <v>48</v>
      </c>
      <c r="I641" s="1" t="s">
        <v>32</v>
      </c>
      <c r="J641" s="1" t="s">
        <v>29</v>
      </c>
      <c r="K641" s="1" t="s">
        <v>2547</v>
      </c>
      <c r="L641">
        <v>1</v>
      </c>
      <c r="M641">
        <v>1</v>
      </c>
      <c r="N641">
        <v>0</v>
      </c>
      <c r="O641">
        <v>5</v>
      </c>
      <c r="P641">
        <v>2</v>
      </c>
      <c r="Q641">
        <v>0</v>
      </c>
      <c r="R641">
        <v>0</v>
      </c>
      <c r="S641">
        <v>1</v>
      </c>
      <c r="T641">
        <v>1</v>
      </c>
      <c r="U641" s="1" t="s">
        <v>2548</v>
      </c>
      <c r="V641" s="1" t="s">
        <v>161</v>
      </c>
      <c r="W641" s="1">
        <f t="shared" si="9"/>
        <v>66.67</v>
      </c>
      <c r="X641" s="1" t="s">
        <v>993</v>
      </c>
      <c r="Y641">
        <v>1</v>
      </c>
      <c r="Z641">
        <v>1</v>
      </c>
      <c r="AA641">
        <v>11</v>
      </c>
    </row>
    <row r="642" spans="1:27" x14ac:dyDescent="0.3">
      <c r="A642" s="1" t="s">
        <v>2549</v>
      </c>
      <c r="B642">
        <v>641</v>
      </c>
      <c r="C642" s="1" t="s">
        <v>2550</v>
      </c>
      <c r="D642" s="1" t="s">
        <v>196</v>
      </c>
      <c r="E642" s="1" t="s">
        <v>29</v>
      </c>
      <c r="F642" s="1" t="s">
        <v>309</v>
      </c>
      <c r="G642" s="1" t="s">
        <v>31</v>
      </c>
      <c r="H642" s="1" t="s">
        <v>55</v>
      </c>
      <c r="I642" s="1" t="s">
        <v>33</v>
      </c>
      <c r="J642" s="1" t="s">
        <v>33</v>
      </c>
      <c r="K642" s="1" t="s">
        <v>34</v>
      </c>
      <c r="L642">
        <v>1</v>
      </c>
      <c r="M642">
        <v>0</v>
      </c>
      <c r="N642">
        <v>0</v>
      </c>
      <c r="O642">
        <v>6</v>
      </c>
      <c r="P642">
        <v>1</v>
      </c>
      <c r="Q642">
        <v>1</v>
      </c>
      <c r="R642">
        <v>0</v>
      </c>
      <c r="S642">
        <v>0</v>
      </c>
      <c r="T642">
        <v>0</v>
      </c>
      <c r="U642" s="1" t="s">
        <v>170</v>
      </c>
      <c r="V642" s="1">
        <v>0</v>
      </c>
      <c r="W642" s="1">
        <f t="shared" ref="W642:W705" si="10">VALUE(SUBSTITUTE(TRIM(V642),".", ","))</f>
        <v>0</v>
      </c>
      <c r="X642" s="1" t="s">
        <v>170</v>
      </c>
      <c r="Y642">
        <v>1</v>
      </c>
      <c r="Z642">
        <v>0</v>
      </c>
      <c r="AA642">
        <v>12</v>
      </c>
    </row>
    <row r="643" spans="1:27" x14ac:dyDescent="0.3">
      <c r="A643" s="1" t="s">
        <v>2551</v>
      </c>
      <c r="B643">
        <v>642</v>
      </c>
      <c r="C643" s="1" t="s">
        <v>2552</v>
      </c>
      <c r="D643" s="1" t="s">
        <v>201</v>
      </c>
      <c r="E643" s="1" t="s">
        <v>39</v>
      </c>
      <c r="F643" s="1" t="s">
        <v>201</v>
      </c>
      <c r="G643" s="1" t="s">
        <v>40</v>
      </c>
      <c r="H643" s="1" t="s">
        <v>63</v>
      </c>
      <c r="I643" s="1" t="s">
        <v>33</v>
      </c>
      <c r="J643" s="1" t="s">
        <v>33</v>
      </c>
      <c r="K643" s="1" t="s">
        <v>34</v>
      </c>
      <c r="L643">
        <v>1</v>
      </c>
      <c r="M643">
        <v>2</v>
      </c>
      <c r="N643">
        <v>0</v>
      </c>
      <c r="O643">
        <v>1</v>
      </c>
      <c r="P643">
        <v>3</v>
      </c>
      <c r="Q643">
        <v>1</v>
      </c>
      <c r="R643">
        <v>0</v>
      </c>
      <c r="S643">
        <v>0</v>
      </c>
      <c r="T643">
        <v>0</v>
      </c>
      <c r="U643" s="1" t="s">
        <v>79</v>
      </c>
      <c r="V643" s="1">
        <v>0</v>
      </c>
      <c r="W643" s="1">
        <f t="shared" si="10"/>
        <v>0</v>
      </c>
      <c r="X643" s="1" t="s">
        <v>79</v>
      </c>
      <c r="Y643">
        <v>1</v>
      </c>
      <c r="Z643">
        <v>0</v>
      </c>
      <c r="AA643">
        <v>13</v>
      </c>
    </row>
    <row r="644" spans="1:27" x14ac:dyDescent="0.3">
      <c r="A644" s="1" t="s">
        <v>2553</v>
      </c>
      <c r="B644">
        <v>643</v>
      </c>
      <c r="C644" s="1" t="s">
        <v>2554</v>
      </c>
      <c r="D644" s="1" t="s">
        <v>207</v>
      </c>
      <c r="E644" s="1" t="s">
        <v>41</v>
      </c>
      <c r="F644" s="1" t="s">
        <v>208</v>
      </c>
      <c r="G644" s="1" t="s">
        <v>47</v>
      </c>
      <c r="H644" s="1" t="s">
        <v>74</v>
      </c>
      <c r="I644" s="1" t="s">
        <v>33</v>
      </c>
      <c r="J644" s="1" t="s">
        <v>33</v>
      </c>
      <c r="K644" s="1" t="s">
        <v>34</v>
      </c>
      <c r="L644">
        <v>2</v>
      </c>
      <c r="M644">
        <v>0</v>
      </c>
      <c r="N644">
        <v>0</v>
      </c>
      <c r="O644">
        <v>2</v>
      </c>
      <c r="P644">
        <v>2</v>
      </c>
      <c r="Q644">
        <v>1</v>
      </c>
      <c r="R644">
        <v>0</v>
      </c>
      <c r="S644">
        <v>0</v>
      </c>
      <c r="T644">
        <v>0</v>
      </c>
      <c r="U644" s="1" t="s">
        <v>1004</v>
      </c>
      <c r="V644" s="1">
        <v>0</v>
      </c>
      <c r="W644" s="1">
        <f t="shared" si="10"/>
        <v>0</v>
      </c>
      <c r="X644" s="1" t="s">
        <v>1004</v>
      </c>
      <c r="Y644">
        <v>1</v>
      </c>
      <c r="Z644">
        <v>0</v>
      </c>
      <c r="AA644">
        <v>14</v>
      </c>
    </row>
    <row r="645" spans="1:27" x14ac:dyDescent="0.3">
      <c r="A645" s="1" t="s">
        <v>2555</v>
      </c>
      <c r="B645">
        <v>644</v>
      </c>
      <c r="C645" s="1" t="s">
        <v>2556</v>
      </c>
      <c r="D645" s="1" t="s">
        <v>54</v>
      </c>
      <c r="E645" s="1" t="s">
        <v>32</v>
      </c>
      <c r="F645" s="1" t="s">
        <v>54</v>
      </c>
      <c r="G645" s="1" t="s">
        <v>54</v>
      </c>
      <c r="H645" s="1" t="s">
        <v>29</v>
      </c>
      <c r="I645" s="1" t="s">
        <v>56</v>
      </c>
      <c r="J645" s="1" t="s">
        <v>33</v>
      </c>
      <c r="K645" s="1" t="s">
        <v>34</v>
      </c>
      <c r="L645">
        <v>2</v>
      </c>
      <c r="M645">
        <v>1</v>
      </c>
      <c r="N645">
        <v>0</v>
      </c>
      <c r="O645">
        <v>3</v>
      </c>
      <c r="P645">
        <v>3</v>
      </c>
      <c r="Q645">
        <v>0</v>
      </c>
      <c r="R645">
        <v>1</v>
      </c>
      <c r="S645">
        <v>0</v>
      </c>
      <c r="T645">
        <v>0</v>
      </c>
      <c r="U645" s="1" t="s">
        <v>1008</v>
      </c>
      <c r="V645" s="1">
        <v>0</v>
      </c>
      <c r="W645" s="1">
        <f t="shared" si="10"/>
        <v>0</v>
      </c>
      <c r="X645" s="1" t="s">
        <v>1008</v>
      </c>
      <c r="Y645">
        <v>1</v>
      </c>
      <c r="Z645">
        <v>0</v>
      </c>
      <c r="AA645">
        <v>15</v>
      </c>
    </row>
    <row r="646" spans="1:27" x14ac:dyDescent="0.3">
      <c r="A646" s="1" t="s">
        <v>2557</v>
      </c>
      <c r="B646">
        <v>645</v>
      </c>
      <c r="C646" s="1" t="s">
        <v>2558</v>
      </c>
      <c r="D646" s="1" t="s">
        <v>62</v>
      </c>
      <c r="E646" s="1" t="s">
        <v>29</v>
      </c>
      <c r="F646" s="1" t="s">
        <v>62</v>
      </c>
      <c r="G646" s="1" t="s">
        <v>62</v>
      </c>
      <c r="H646" s="1" t="s">
        <v>32</v>
      </c>
      <c r="I646" s="1" t="s">
        <v>64</v>
      </c>
      <c r="J646" s="1" t="s">
        <v>41</v>
      </c>
      <c r="K646" s="1" t="s">
        <v>1013</v>
      </c>
      <c r="L646">
        <v>2</v>
      </c>
      <c r="M646">
        <v>0</v>
      </c>
      <c r="N646">
        <v>0</v>
      </c>
      <c r="O646">
        <v>4</v>
      </c>
      <c r="P646">
        <v>2</v>
      </c>
      <c r="Q646">
        <v>0</v>
      </c>
      <c r="R646">
        <v>0</v>
      </c>
      <c r="S646">
        <v>0</v>
      </c>
      <c r="T646">
        <v>0</v>
      </c>
      <c r="U646" s="1" t="s">
        <v>1014</v>
      </c>
      <c r="V646" s="1" t="s">
        <v>104</v>
      </c>
      <c r="W646" s="1">
        <f t="shared" si="10"/>
        <v>76.84</v>
      </c>
      <c r="X646" s="1" t="s">
        <v>1015</v>
      </c>
      <c r="Y646">
        <v>1</v>
      </c>
      <c r="Z646">
        <v>0</v>
      </c>
      <c r="AA646">
        <v>16</v>
      </c>
    </row>
    <row r="647" spans="1:27" x14ac:dyDescent="0.3">
      <c r="A647" s="1" t="s">
        <v>2559</v>
      </c>
      <c r="B647">
        <v>646</v>
      </c>
      <c r="C647" s="1" t="s">
        <v>2560</v>
      </c>
      <c r="D647" s="1" t="s">
        <v>73</v>
      </c>
      <c r="E647" s="1" t="s">
        <v>39</v>
      </c>
      <c r="F647" s="1" t="s">
        <v>73</v>
      </c>
      <c r="G647" s="1" t="s">
        <v>73</v>
      </c>
      <c r="H647" s="1" t="s">
        <v>41</v>
      </c>
      <c r="I647" s="1" t="s">
        <v>64</v>
      </c>
      <c r="J647" s="1" t="s">
        <v>32</v>
      </c>
      <c r="K647" s="1" t="s">
        <v>1019</v>
      </c>
      <c r="L647">
        <v>3</v>
      </c>
      <c r="M647">
        <v>0</v>
      </c>
      <c r="N647">
        <v>0</v>
      </c>
      <c r="O647">
        <v>5</v>
      </c>
      <c r="P647">
        <v>3</v>
      </c>
      <c r="Q647">
        <v>0</v>
      </c>
      <c r="R647">
        <v>0</v>
      </c>
      <c r="S647">
        <v>0</v>
      </c>
      <c r="T647">
        <v>0</v>
      </c>
      <c r="U647" s="1" t="s">
        <v>1020</v>
      </c>
      <c r="V647" s="1" t="s">
        <v>304</v>
      </c>
      <c r="W647" s="1">
        <f t="shared" si="10"/>
        <v>64.41</v>
      </c>
      <c r="X647" s="1" t="s">
        <v>204</v>
      </c>
      <c r="Y647">
        <v>1</v>
      </c>
      <c r="Z647">
        <v>0</v>
      </c>
      <c r="AA647">
        <v>17</v>
      </c>
    </row>
    <row r="648" spans="1:27" x14ac:dyDescent="0.3">
      <c r="A648" s="1" t="s">
        <v>2561</v>
      </c>
      <c r="B648">
        <v>647</v>
      </c>
      <c r="C648" s="1" t="s">
        <v>2562</v>
      </c>
      <c r="D648" s="1" t="s">
        <v>230</v>
      </c>
      <c r="E648" s="1" t="s">
        <v>41</v>
      </c>
      <c r="F648" s="1" t="s">
        <v>341</v>
      </c>
      <c r="G648" s="1" t="s">
        <v>84</v>
      </c>
      <c r="H648" s="1" t="s">
        <v>48</v>
      </c>
      <c r="I648" s="1" t="s">
        <v>32</v>
      </c>
      <c r="J648" s="1" t="s">
        <v>32</v>
      </c>
      <c r="K648" s="1" t="s">
        <v>1114</v>
      </c>
      <c r="L648">
        <v>3</v>
      </c>
      <c r="M648">
        <v>0</v>
      </c>
      <c r="N648">
        <v>0</v>
      </c>
      <c r="O648">
        <v>6</v>
      </c>
      <c r="P648">
        <v>3</v>
      </c>
      <c r="Q648">
        <v>0</v>
      </c>
      <c r="R648">
        <v>0</v>
      </c>
      <c r="S648">
        <v>1</v>
      </c>
      <c r="T648">
        <v>1</v>
      </c>
      <c r="U648" s="1" t="s">
        <v>1115</v>
      </c>
      <c r="V648" s="1" t="s">
        <v>169</v>
      </c>
      <c r="W648" s="1">
        <f t="shared" si="10"/>
        <v>270.07</v>
      </c>
      <c r="X648" s="1" t="s">
        <v>1116</v>
      </c>
      <c r="Y648">
        <v>1</v>
      </c>
      <c r="Z648">
        <v>1</v>
      </c>
      <c r="AA648">
        <v>18</v>
      </c>
    </row>
    <row r="649" spans="1:27" x14ac:dyDescent="0.3">
      <c r="A649" s="1" t="s">
        <v>2563</v>
      </c>
      <c r="B649">
        <v>648</v>
      </c>
      <c r="C649" s="1" t="s">
        <v>2564</v>
      </c>
      <c r="D649" s="1" t="s">
        <v>236</v>
      </c>
      <c r="E649" s="1" t="s">
        <v>32</v>
      </c>
      <c r="F649" s="1" t="s">
        <v>350</v>
      </c>
      <c r="G649" s="1" t="s">
        <v>93</v>
      </c>
      <c r="H649" s="1" t="s">
        <v>55</v>
      </c>
      <c r="I649" s="1" t="s">
        <v>32</v>
      </c>
      <c r="J649" s="1" t="s">
        <v>74</v>
      </c>
      <c r="K649" s="1" t="s">
        <v>281</v>
      </c>
      <c r="L649">
        <v>3</v>
      </c>
      <c r="M649">
        <v>2</v>
      </c>
      <c r="N649">
        <v>1</v>
      </c>
      <c r="O649">
        <v>1</v>
      </c>
      <c r="P649">
        <v>6</v>
      </c>
      <c r="Q649">
        <v>0</v>
      </c>
      <c r="R649">
        <v>0</v>
      </c>
      <c r="S649">
        <v>1</v>
      </c>
      <c r="T649">
        <v>1</v>
      </c>
      <c r="U649" s="1" t="s">
        <v>281</v>
      </c>
      <c r="V649" s="1" t="s">
        <v>127</v>
      </c>
      <c r="W649" s="1">
        <f t="shared" si="10"/>
        <v>47.46</v>
      </c>
      <c r="X649" s="1" t="s">
        <v>282</v>
      </c>
      <c r="Y649">
        <v>1</v>
      </c>
      <c r="Z649">
        <v>1</v>
      </c>
      <c r="AA649">
        <v>19</v>
      </c>
    </row>
    <row r="650" spans="1:27" x14ac:dyDescent="0.3">
      <c r="A650" s="1" t="s">
        <v>2565</v>
      </c>
      <c r="B650">
        <v>649</v>
      </c>
      <c r="C650" s="1" t="s">
        <v>2566</v>
      </c>
      <c r="D650" s="1" t="s">
        <v>241</v>
      </c>
      <c r="E650" s="1" t="s">
        <v>29</v>
      </c>
      <c r="F650" s="1" t="s">
        <v>357</v>
      </c>
      <c r="G650" s="1" t="s">
        <v>102</v>
      </c>
      <c r="H650" s="1" t="s">
        <v>63</v>
      </c>
      <c r="I650" s="1" t="s">
        <v>32</v>
      </c>
      <c r="J650" s="1" t="s">
        <v>29</v>
      </c>
      <c r="K650" s="1" t="s">
        <v>2567</v>
      </c>
      <c r="L650">
        <v>3</v>
      </c>
      <c r="M650">
        <v>0</v>
      </c>
      <c r="N650">
        <v>0</v>
      </c>
      <c r="O650">
        <v>2</v>
      </c>
      <c r="P650">
        <v>3</v>
      </c>
      <c r="Q650">
        <v>0</v>
      </c>
      <c r="R650">
        <v>0</v>
      </c>
      <c r="S650">
        <v>1</v>
      </c>
      <c r="T650">
        <v>1</v>
      </c>
      <c r="U650" s="1" t="s">
        <v>2568</v>
      </c>
      <c r="V650" s="1" t="s">
        <v>1259</v>
      </c>
      <c r="W650" s="1">
        <f t="shared" si="10"/>
        <v>292.22000000000003</v>
      </c>
      <c r="X650" s="1" t="s">
        <v>136</v>
      </c>
      <c r="Y650">
        <v>1</v>
      </c>
      <c r="Z650">
        <v>1</v>
      </c>
      <c r="AA650">
        <v>20</v>
      </c>
    </row>
    <row r="651" spans="1:27" x14ac:dyDescent="0.3">
      <c r="A651" s="1" t="s">
        <v>2569</v>
      </c>
      <c r="B651">
        <v>650</v>
      </c>
      <c r="C651" s="1" t="s">
        <v>2570</v>
      </c>
      <c r="D651" s="1" t="s">
        <v>245</v>
      </c>
      <c r="E651" s="1" t="s">
        <v>39</v>
      </c>
      <c r="F651" s="1" t="s">
        <v>75</v>
      </c>
      <c r="G651" s="1" t="s">
        <v>108</v>
      </c>
      <c r="H651" s="1" t="s">
        <v>74</v>
      </c>
      <c r="I651" s="1" t="s">
        <v>32</v>
      </c>
      <c r="J651" s="1" t="s">
        <v>75</v>
      </c>
      <c r="K651" s="1" t="s">
        <v>2571</v>
      </c>
      <c r="L651">
        <v>1</v>
      </c>
      <c r="M651">
        <v>0</v>
      </c>
      <c r="N651">
        <v>0</v>
      </c>
      <c r="O651">
        <v>3</v>
      </c>
      <c r="P651">
        <v>1</v>
      </c>
      <c r="Q651">
        <v>0</v>
      </c>
      <c r="R651">
        <v>0</v>
      </c>
      <c r="S651">
        <v>1</v>
      </c>
      <c r="T651">
        <v>1</v>
      </c>
      <c r="U651" s="1" t="s">
        <v>2572</v>
      </c>
      <c r="V651" s="1" t="s">
        <v>1266</v>
      </c>
      <c r="W651" s="1">
        <f t="shared" si="10"/>
        <v>192.78</v>
      </c>
      <c r="X651" s="1" t="s">
        <v>2573</v>
      </c>
      <c r="Y651">
        <v>1</v>
      </c>
      <c r="Z651">
        <v>1</v>
      </c>
      <c r="AA651">
        <v>21</v>
      </c>
    </row>
    <row r="652" spans="1:27" x14ac:dyDescent="0.3">
      <c r="A652" s="1" t="s">
        <v>2574</v>
      </c>
      <c r="B652">
        <v>651</v>
      </c>
      <c r="C652" s="1" t="s">
        <v>2575</v>
      </c>
      <c r="D652" s="1" t="s">
        <v>250</v>
      </c>
      <c r="E652" s="1" t="s">
        <v>41</v>
      </c>
      <c r="F652" s="1" t="s">
        <v>41</v>
      </c>
      <c r="G652" s="1" t="s">
        <v>117</v>
      </c>
      <c r="H652" s="1" t="s">
        <v>29</v>
      </c>
      <c r="I652" s="1" t="s">
        <v>32</v>
      </c>
      <c r="J652" s="1" t="s">
        <v>41</v>
      </c>
      <c r="K652" s="1" t="s">
        <v>297</v>
      </c>
      <c r="L652">
        <v>1</v>
      </c>
      <c r="M652">
        <v>0</v>
      </c>
      <c r="N652">
        <v>0</v>
      </c>
      <c r="O652">
        <v>4</v>
      </c>
      <c r="P652">
        <v>1</v>
      </c>
      <c r="Q652">
        <v>0</v>
      </c>
      <c r="R652">
        <v>0</v>
      </c>
      <c r="S652">
        <v>1</v>
      </c>
      <c r="T652">
        <v>1</v>
      </c>
      <c r="U652" s="1" t="s">
        <v>297</v>
      </c>
      <c r="V652" s="1" t="s">
        <v>152</v>
      </c>
      <c r="W652" s="1">
        <f t="shared" si="10"/>
        <v>63.28</v>
      </c>
      <c r="X652" s="1" t="s">
        <v>49</v>
      </c>
      <c r="Y652">
        <v>1</v>
      </c>
      <c r="Z652">
        <v>1</v>
      </c>
      <c r="AA652">
        <v>22</v>
      </c>
    </row>
    <row r="653" spans="1:27" x14ac:dyDescent="0.3">
      <c r="A653" s="1" t="s">
        <v>2576</v>
      </c>
      <c r="B653">
        <v>652</v>
      </c>
      <c r="C653" s="1" t="s">
        <v>2577</v>
      </c>
      <c r="D653" s="1" t="s">
        <v>32</v>
      </c>
      <c r="E653" s="1" t="s">
        <v>32</v>
      </c>
      <c r="F653" s="1" t="s">
        <v>32</v>
      </c>
      <c r="G653" s="1" t="s">
        <v>32</v>
      </c>
      <c r="H653" s="1" t="s">
        <v>32</v>
      </c>
      <c r="I653" s="1" t="s">
        <v>32</v>
      </c>
      <c r="J653" s="1" t="s">
        <v>32</v>
      </c>
      <c r="K653" s="1" t="s">
        <v>159</v>
      </c>
      <c r="L653">
        <v>1</v>
      </c>
      <c r="M653">
        <v>1</v>
      </c>
      <c r="N653">
        <v>0</v>
      </c>
      <c r="O653">
        <v>5</v>
      </c>
      <c r="P653">
        <v>2</v>
      </c>
      <c r="Q653">
        <v>0</v>
      </c>
      <c r="R653">
        <v>0</v>
      </c>
      <c r="S653">
        <v>1</v>
      </c>
      <c r="T653">
        <v>1</v>
      </c>
      <c r="U653" s="1" t="s">
        <v>160</v>
      </c>
      <c r="V653" s="1" t="s">
        <v>161</v>
      </c>
      <c r="W653" s="1">
        <f t="shared" si="10"/>
        <v>66.67</v>
      </c>
      <c r="X653" s="1" t="s">
        <v>57</v>
      </c>
      <c r="Y653">
        <v>1</v>
      </c>
      <c r="Z653">
        <v>1</v>
      </c>
      <c r="AA653">
        <v>23</v>
      </c>
    </row>
    <row r="654" spans="1:27" x14ac:dyDescent="0.3">
      <c r="A654" s="1" t="s">
        <v>2578</v>
      </c>
      <c r="B654">
        <v>653</v>
      </c>
      <c r="C654" s="1" t="s">
        <v>2579</v>
      </c>
      <c r="D654" s="1" t="s">
        <v>260</v>
      </c>
      <c r="E654" s="1" t="s">
        <v>29</v>
      </c>
      <c r="F654" s="1" t="s">
        <v>262</v>
      </c>
      <c r="G654" s="1" t="s">
        <v>132</v>
      </c>
      <c r="H654" s="1" t="s">
        <v>41</v>
      </c>
      <c r="I654" s="1" t="s">
        <v>32</v>
      </c>
      <c r="J654" s="1" t="s">
        <v>74</v>
      </c>
      <c r="K654" s="1" t="s">
        <v>167</v>
      </c>
      <c r="L654">
        <v>2</v>
      </c>
      <c r="M654">
        <v>0</v>
      </c>
      <c r="N654">
        <v>0</v>
      </c>
      <c r="O654">
        <v>6</v>
      </c>
      <c r="P654">
        <v>2</v>
      </c>
      <c r="Q654">
        <v>0</v>
      </c>
      <c r="R654">
        <v>0</v>
      </c>
      <c r="S654">
        <v>1</v>
      </c>
      <c r="T654">
        <v>1</v>
      </c>
      <c r="U654" s="1" t="s">
        <v>168</v>
      </c>
      <c r="V654" s="1" t="s">
        <v>169</v>
      </c>
      <c r="W654" s="1">
        <f t="shared" si="10"/>
        <v>270.07</v>
      </c>
      <c r="X654" s="1" t="s">
        <v>170</v>
      </c>
      <c r="Y654">
        <v>1</v>
      </c>
      <c r="Z654">
        <v>1</v>
      </c>
      <c r="AA654">
        <v>24</v>
      </c>
    </row>
    <row r="655" spans="1:27" x14ac:dyDescent="0.3">
      <c r="A655" s="1" t="s">
        <v>2580</v>
      </c>
      <c r="B655">
        <v>654</v>
      </c>
      <c r="C655" s="1" t="s">
        <v>2581</v>
      </c>
      <c r="D655" s="1" t="s">
        <v>267</v>
      </c>
      <c r="E655" s="1" t="s">
        <v>39</v>
      </c>
      <c r="F655" s="1" t="s">
        <v>388</v>
      </c>
      <c r="G655" s="1" t="s">
        <v>141</v>
      </c>
      <c r="H655" s="1" t="s">
        <v>48</v>
      </c>
      <c r="I655" s="1" t="s">
        <v>32</v>
      </c>
      <c r="J655" s="1" t="s">
        <v>29</v>
      </c>
      <c r="K655" s="1" t="s">
        <v>1096</v>
      </c>
      <c r="L655">
        <v>2</v>
      </c>
      <c r="M655">
        <v>2</v>
      </c>
      <c r="N655">
        <v>0</v>
      </c>
      <c r="O655">
        <v>1</v>
      </c>
      <c r="P655">
        <v>4</v>
      </c>
      <c r="Q655">
        <v>0</v>
      </c>
      <c r="R655">
        <v>0</v>
      </c>
      <c r="S655">
        <v>1</v>
      </c>
      <c r="T655">
        <v>1</v>
      </c>
      <c r="U655" s="1" t="s">
        <v>1096</v>
      </c>
      <c r="V655" s="1" t="s">
        <v>177</v>
      </c>
      <c r="W655" s="1">
        <f t="shared" si="10"/>
        <v>61.02</v>
      </c>
      <c r="X655" s="1" t="s">
        <v>1097</v>
      </c>
      <c r="Y655">
        <v>1</v>
      </c>
      <c r="Z655">
        <v>1</v>
      </c>
      <c r="AA655">
        <v>25</v>
      </c>
    </row>
    <row r="656" spans="1:27" x14ac:dyDescent="0.3">
      <c r="A656" s="1" t="s">
        <v>2582</v>
      </c>
      <c r="B656">
        <v>655</v>
      </c>
      <c r="C656" s="1" t="s">
        <v>2583</v>
      </c>
      <c r="D656" s="1" t="s">
        <v>273</v>
      </c>
      <c r="E656" s="1" t="s">
        <v>41</v>
      </c>
      <c r="F656" s="1" t="s">
        <v>394</v>
      </c>
      <c r="G656" s="1" t="s">
        <v>150</v>
      </c>
      <c r="H656" s="1" t="s">
        <v>55</v>
      </c>
      <c r="I656" s="1" t="s">
        <v>32</v>
      </c>
      <c r="J656" s="1" t="s">
        <v>75</v>
      </c>
      <c r="K656" s="1" t="s">
        <v>1057</v>
      </c>
      <c r="L656">
        <v>2</v>
      </c>
      <c r="M656">
        <v>0</v>
      </c>
      <c r="N656">
        <v>0</v>
      </c>
      <c r="O656">
        <v>2</v>
      </c>
      <c r="P656">
        <v>2</v>
      </c>
      <c r="Q656">
        <v>0</v>
      </c>
      <c r="R656">
        <v>0</v>
      </c>
      <c r="S656">
        <v>1</v>
      </c>
      <c r="T656">
        <v>1</v>
      </c>
      <c r="U656" s="1" t="s">
        <v>1058</v>
      </c>
      <c r="V656" s="1" t="s">
        <v>87</v>
      </c>
      <c r="W656" s="1">
        <f t="shared" si="10"/>
        <v>274.58999999999997</v>
      </c>
      <c r="X656" s="1" t="s">
        <v>1059</v>
      </c>
      <c r="Y656">
        <v>1</v>
      </c>
      <c r="Z656">
        <v>1</v>
      </c>
      <c r="AA656">
        <v>26</v>
      </c>
    </row>
    <row r="657" spans="1:27" x14ac:dyDescent="0.3">
      <c r="A657" s="1" t="s">
        <v>2584</v>
      </c>
      <c r="B657">
        <v>656</v>
      </c>
      <c r="C657" s="1" t="s">
        <v>2585</v>
      </c>
      <c r="D657" s="1" t="s">
        <v>279</v>
      </c>
      <c r="E657" s="1" t="s">
        <v>32</v>
      </c>
      <c r="F657" s="1" t="s">
        <v>402</v>
      </c>
      <c r="G657" s="1" t="s">
        <v>158</v>
      </c>
      <c r="H657" s="1" t="s">
        <v>63</v>
      </c>
      <c r="I657" s="1" t="s">
        <v>32</v>
      </c>
      <c r="J657" s="1" t="s">
        <v>41</v>
      </c>
      <c r="K657" s="1" t="s">
        <v>2115</v>
      </c>
      <c r="L657">
        <v>3</v>
      </c>
      <c r="M657">
        <v>1</v>
      </c>
      <c r="N657">
        <v>0</v>
      </c>
      <c r="O657">
        <v>3</v>
      </c>
      <c r="P657">
        <v>4</v>
      </c>
      <c r="Q657">
        <v>0</v>
      </c>
      <c r="R657">
        <v>0</v>
      </c>
      <c r="S657">
        <v>1</v>
      </c>
      <c r="T657">
        <v>1</v>
      </c>
      <c r="U657" s="1" t="s">
        <v>2116</v>
      </c>
      <c r="V657" s="1" t="s">
        <v>475</v>
      </c>
      <c r="W657" s="1">
        <f t="shared" si="10"/>
        <v>221.71</v>
      </c>
      <c r="X657" s="1" t="s">
        <v>97</v>
      </c>
      <c r="Y657">
        <v>1</v>
      </c>
      <c r="Z657">
        <v>1</v>
      </c>
      <c r="AA657">
        <v>27</v>
      </c>
    </row>
    <row r="658" spans="1:27" x14ac:dyDescent="0.3">
      <c r="A658" s="1" t="s">
        <v>2586</v>
      </c>
      <c r="B658">
        <v>657</v>
      </c>
      <c r="C658" s="1" t="s">
        <v>2587</v>
      </c>
      <c r="D658" s="1" t="s">
        <v>166</v>
      </c>
      <c r="E658" s="1" t="s">
        <v>29</v>
      </c>
      <c r="F658" s="1" t="s">
        <v>408</v>
      </c>
      <c r="G658" s="1" t="s">
        <v>166</v>
      </c>
      <c r="H658" s="1" t="s">
        <v>74</v>
      </c>
      <c r="I658" s="1" t="s">
        <v>32</v>
      </c>
      <c r="J658" s="1" t="s">
        <v>32</v>
      </c>
      <c r="K658" s="1" t="s">
        <v>2588</v>
      </c>
      <c r="L658">
        <v>3</v>
      </c>
      <c r="M658">
        <v>0</v>
      </c>
      <c r="N658">
        <v>0</v>
      </c>
      <c r="O658">
        <v>4</v>
      </c>
      <c r="P658">
        <v>3</v>
      </c>
      <c r="Q658">
        <v>0</v>
      </c>
      <c r="R658">
        <v>0</v>
      </c>
      <c r="S658">
        <v>1</v>
      </c>
      <c r="T658">
        <v>1</v>
      </c>
      <c r="U658" s="1" t="s">
        <v>2588</v>
      </c>
      <c r="V658" s="1" t="s">
        <v>482</v>
      </c>
      <c r="W658" s="1">
        <f t="shared" si="10"/>
        <v>69.16</v>
      </c>
      <c r="X658" s="1" t="s">
        <v>105</v>
      </c>
      <c r="Y658">
        <v>1</v>
      </c>
      <c r="Z658">
        <v>1</v>
      </c>
      <c r="AA658">
        <v>28</v>
      </c>
    </row>
    <row r="659" spans="1:27" x14ac:dyDescent="0.3">
      <c r="A659" s="1" t="s">
        <v>2589</v>
      </c>
      <c r="B659">
        <v>658</v>
      </c>
      <c r="C659" s="1" t="s">
        <v>2590</v>
      </c>
      <c r="D659" s="1" t="s">
        <v>175</v>
      </c>
      <c r="E659" s="1" t="s">
        <v>39</v>
      </c>
      <c r="F659" s="1" t="s">
        <v>175</v>
      </c>
      <c r="G659" s="1" t="s">
        <v>175</v>
      </c>
      <c r="H659" s="1" t="s">
        <v>29</v>
      </c>
      <c r="I659" s="1" t="s">
        <v>32</v>
      </c>
      <c r="J659" s="1" t="s">
        <v>74</v>
      </c>
      <c r="K659" s="1" t="s">
        <v>1068</v>
      </c>
      <c r="L659">
        <v>3</v>
      </c>
      <c r="M659">
        <v>0</v>
      </c>
      <c r="N659">
        <v>0</v>
      </c>
      <c r="O659">
        <v>5</v>
      </c>
      <c r="P659">
        <v>3</v>
      </c>
      <c r="Q659">
        <v>0</v>
      </c>
      <c r="R659">
        <v>0</v>
      </c>
      <c r="S659">
        <v>1</v>
      </c>
      <c r="T659">
        <v>1</v>
      </c>
      <c r="U659" s="1" t="s">
        <v>1069</v>
      </c>
      <c r="V659" s="1" t="s">
        <v>111</v>
      </c>
      <c r="W659" s="1">
        <f t="shared" si="10"/>
        <v>80.229999999999905</v>
      </c>
      <c r="X659" s="1" t="s">
        <v>204</v>
      </c>
      <c r="Y659">
        <v>1</v>
      </c>
      <c r="Z659">
        <v>1</v>
      </c>
      <c r="AA659">
        <v>29</v>
      </c>
    </row>
    <row r="660" spans="1:27" x14ac:dyDescent="0.3">
      <c r="A660" s="1" t="s">
        <v>2591</v>
      </c>
      <c r="B660">
        <v>659</v>
      </c>
      <c r="C660" s="1" t="s">
        <v>2592</v>
      </c>
      <c r="D660" s="1" t="s">
        <v>295</v>
      </c>
      <c r="E660" s="1" t="s">
        <v>41</v>
      </c>
      <c r="F660" s="1" t="s">
        <v>419</v>
      </c>
      <c r="G660" s="1" t="s">
        <v>181</v>
      </c>
      <c r="H660" s="1" t="s">
        <v>32</v>
      </c>
      <c r="I660" s="1" t="s">
        <v>32</v>
      </c>
      <c r="J660" s="1" t="s">
        <v>29</v>
      </c>
      <c r="K660" s="1" t="s">
        <v>1114</v>
      </c>
      <c r="L660">
        <v>3</v>
      </c>
      <c r="M660">
        <v>0</v>
      </c>
      <c r="N660">
        <v>0</v>
      </c>
      <c r="O660">
        <v>6</v>
      </c>
      <c r="P660">
        <v>3</v>
      </c>
      <c r="Q660">
        <v>0</v>
      </c>
      <c r="R660">
        <v>0</v>
      </c>
      <c r="S660">
        <v>1</v>
      </c>
      <c r="T660">
        <v>1</v>
      </c>
      <c r="U660" s="1" t="s">
        <v>1115</v>
      </c>
      <c r="V660" s="1" t="s">
        <v>169</v>
      </c>
      <c r="W660" s="1">
        <f t="shared" si="10"/>
        <v>270.07</v>
      </c>
      <c r="X660" s="1" t="s">
        <v>1116</v>
      </c>
      <c r="Y660">
        <v>1</v>
      </c>
      <c r="Z660">
        <v>1</v>
      </c>
      <c r="AA660">
        <v>30</v>
      </c>
    </row>
    <row r="661" spans="1:27" x14ac:dyDescent="0.3">
      <c r="A661" s="1" t="s">
        <v>2593</v>
      </c>
      <c r="B661">
        <v>660</v>
      </c>
      <c r="C661" s="1" t="s">
        <v>2594</v>
      </c>
      <c r="D661" s="1" t="s">
        <v>300</v>
      </c>
      <c r="E661" s="1" t="s">
        <v>32</v>
      </c>
      <c r="F661" s="1" t="s">
        <v>426</v>
      </c>
      <c r="G661" s="1" t="s">
        <v>189</v>
      </c>
      <c r="H661" s="1" t="s">
        <v>41</v>
      </c>
      <c r="I661" s="1" t="s">
        <v>32</v>
      </c>
      <c r="J661" s="1" t="s">
        <v>75</v>
      </c>
      <c r="K661" s="1" t="s">
        <v>1075</v>
      </c>
      <c r="L661">
        <v>1</v>
      </c>
      <c r="M661">
        <v>2</v>
      </c>
      <c r="N661">
        <v>1</v>
      </c>
      <c r="O661">
        <v>1</v>
      </c>
      <c r="P661">
        <v>4</v>
      </c>
      <c r="Q661">
        <v>0</v>
      </c>
      <c r="R661">
        <v>0</v>
      </c>
      <c r="S661">
        <v>1</v>
      </c>
      <c r="T661">
        <v>1</v>
      </c>
      <c r="U661" s="1" t="s">
        <v>1075</v>
      </c>
      <c r="V661" s="1" t="s">
        <v>127</v>
      </c>
      <c r="W661" s="1">
        <f t="shared" si="10"/>
        <v>47.46</v>
      </c>
      <c r="X661" s="1" t="s">
        <v>1076</v>
      </c>
      <c r="Y661">
        <v>1</v>
      </c>
      <c r="Z661">
        <v>1</v>
      </c>
      <c r="AA661">
        <v>31</v>
      </c>
    </row>
    <row r="662" spans="1:27" x14ac:dyDescent="0.3">
      <c r="A662" s="1" t="s">
        <v>2595</v>
      </c>
      <c r="B662">
        <v>661</v>
      </c>
      <c r="C662" s="1" t="s">
        <v>2596</v>
      </c>
      <c r="D662" s="1" t="s">
        <v>308</v>
      </c>
      <c r="E662" s="1" t="s">
        <v>29</v>
      </c>
      <c r="F662" s="1" t="s">
        <v>432</v>
      </c>
      <c r="G662" s="1" t="s">
        <v>196</v>
      </c>
      <c r="H662" s="1" t="s">
        <v>48</v>
      </c>
      <c r="I662" s="1" t="s">
        <v>33</v>
      </c>
      <c r="J662" s="1" t="s">
        <v>33</v>
      </c>
      <c r="K662" s="1" t="s">
        <v>34</v>
      </c>
      <c r="L662">
        <v>1</v>
      </c>
      <c r="M662">
        <v>0</v>
      </c>
      <c r="N662">
        <v>0</v>
      </c>
      <c r="O662">
        <v>2</v>
      </c>
      <c r="P662">
        <v>1</v>
      </c>
      <c r="Q662">
        <v>1</v>
      </c>
      <c r="R662">
        <v>0</v>
      </c>
      <c r="S662">
        <v>0</v>
      </c>
      <c r="T662">
        <v>0</v>
      </c>
      <c r="U662" s="1" t="s">
        <v>35</v>
      </c>
      <c r="V662" s="1">
        <v>0</v>
      </c>
      <c r="W662" s="1">
        <f t="shared" si="10"/>
        <v>0</v>
      </c>
      <c r="X662" s="1" t="s">
        <v>35</v>
      </c>
      <c r="Y662">
        <v>1</v>
      </c>
      <c r="Z662">
        <v>0</v>
      </c>
      <c r="AA662">
        <v>32</v>
      </c>
    </row>
    <row r="663" spans="1:27" x14ac:dyDescent="0.3">
      <c r="A663" s="1" t="s">
        <v>2597</v>
      </c>
      <c r="B663">
        <v>662</v>
      </c>
      <c r="C663" s="1" t="s">
        <v>2598</v>
      </c>
      <c r="D663" s="1" t="s">
        <v>203</v>
      </c>
      <c r="E663" s="1" t="s">
        <v>39</v>
      </c>
      <c r="F663" s="1" t="s">
        <v>203</v>
      </c>
      <c r="G663" s="1" t="s">
        <v>203</v>
      </c>
      <c r="H663" s="1" t="s">
        <v>55</v>
      </c>
      <c r="I663" s="1" t="s">
        <v>33</v>
      </c>
      <c r="J663" s="1" t="s">
        <v>33</v>
      </c>
      <c r="K663" s="1" t="s">
        <v>34</v>
      </c>
      <c r="L663">
        <v>1</v>
      </c>
      <c r="M663">
        <v>0</v>
      </c>
      <c r="N663">
        <v>0</v>
      </c>
      <c r="O663">
        <v>3</v>
      </c>
      <c r="P663">
        <v>1</v>
      </c>
      <c r="Q663">
        <v>1</v>
      </c>
      <c r="R663">
        <v>0</v>
      </c>
      <c r="S663">
        <v>0</v>
      </c>
      <c r="T663">
        <v>0</v>
      </c>
      <c r="U663" s="1" t="s">
        <v>42</v>
      </c>
      <c r="V663" s="1">
        <v>0</v>
      </c>
      <c r="W663" s="1">
        <f t="shared" si="10"/>
        <v>0</v>
      </c>
      <c r="X663" s="1" t="s">
        <v>42</v>
      </c>
      <c r="Y663">
        <v>1</v>
      </c>
      <c r="Z663">
        <v>0</v>
      </c>
      <c r="AA663">
        <v>33</v>
      </c>
    </row>
    <row r="664" spans="1:27" x14ac:dyDescent="0.3">
      <c r="A664" s="1" t="s">
        <v>2599</v>
      </c>
      <c r="B664">
        <v>663</v>
      </c>
      <c r="C664" s="1" t="s">
        <v>2600</v>
      </c>
      <c r="D664" s="1" t="s">
        <v>317</v>
      </c>
      <c r="E664" s="1" t="s">
        <v>41</v>
      </c>
      <c r="F664" s="1" t="s">
        <v>443</v>
      </c>
      <c r="G664" s="1" t="s">
        <v>208</v>
      </c>
      <c r="H664" s="1" t="s">
        <v>63</v>
      </c>
      <c r="I664" s="1" t="s">
        <v>33</v>
      </c>
      <c r="J664" s="1" t="s">
        <v>33</v>
      </c>
      <c r="K664" s="1" t="s">
        <v>34</v>
      </c>
      <c r="L664">
        <v>2</v>
      </c>
      <c r="M664">
        <v>0</v>
      </c>
      <c r="N664">
        <v>0</v>
      </c>
      <c r="O664">
        <v>4</v>
      </c>
      <c r="P664">
        <v>2</v>
      </c>
      <c r="Q664">
        <v>1</v>
      </c>
      <c r="R664">
        <v>0</v>
      </c>
      <c r="S664">
        <v>0</v>
      </c>
      <c r="T664">
        <v>0</v>
      </c>
      <c r="U664" s="1" t="s">
        <v>49</v>
      </c>
      <c r="V664" s="1">
        <v>0</v>
      </c>
      <c r="W664" s="1">
        <f t="shared" si="10"/>
        <v>0</v>
      </c>
      <c r="X664" s="1" t="s">
        <v>49</v>
      </c>
      <c r="Y664">
        <v>1</v>
      </c>
      <c r="Z664">
        <v>0</v>
      </c>
      <c r="AA664">
        <v>34</v>
      </c>
    </row>
    <row r="665" spans="1:27" x14ac:dyDescent="0.3">
      <c r="A665" s="1" t="s">
        <v>2601</v>
      </c>
      <c r="B665">
        <v>664</v>
      </c>
      <c r="C665" s="1" t="s">
        <v>2602</v>
      </c>
      <c r="D665" s="1" t="s">
        <v>212</v>
      </c>
      <c r="E665" s="1" t="s">
        <v>32</v>
      </c>
      <c r="F665" s="1" t="s">
        <v>212</v>
      </c>
      <c r="G665" s="1" t="s">
        <v>212</v>
      </c>
      <c r="H665" s="1" t="s">
        <v>74</v>
      </c>
      <c r="I665" s="1" t="s">
        <v>56</v>
      </c>
      <c r="J665" s="1" t="s">
        <v>33</v>
      </c>
      <c r="K665" s="1" t="s">
        <v>34</v>
      </c>
      <c r="L665">
        <v>2</v>
      </c>
      <c r="M665">
        <v>1</v>
      </c>
      <c r="N665">
        <v>0</v>
      </c>
      <c r="O665">
        <v>5</v>
      </c>
      <c r="P665">
        <v>3</v>
      </c>
      <c r="Q665">
        <v>0</v>
      </c>
      <c r="R665">
        <v>1</v>
      </c>
      <c r="S665">
        <v>0</v>
      </c>
      <c r="T665">
        <v>0</v>
      </c>
      <c r="U665" s="1" t="s">
        <v>57</v>
      </c>
      <c r="V665" s="1">
        <v>0</v>
      </c>
      <c r="W665" s="1">
        <f t="shared" si="10"/>
        <v>0</v>
      </c>
      <c r="X665" s="1" t="s">
        <v>57</v>
      </c>
      <c r="Y665">
        <v>1</v>
      </c>
      <c r="Z665">
        <v>0</v>
      </c>
      <c r="AA665">
        <v>35</v>
      </c>
    </row>
    <row r="666" spans="1:27" x14ac:dyDescent="0.3">
      <c r="A666" s="1" t="s">
        <v>2603</v>
      </c>
      <c r="B666">
        <v>665</v>
      </c>
      <c r="C666" s="1" t="s">
        <v>2604</v>
      </c>
      <c r="D666" s="1" t="s">
        <v>326</v>
      </c>
      <c r="E666" s="1" t="s">
        <v>29</v>
      </c>
      <c r="F666" s="1" t="s">
        <v>452</v>
      </c>
      <c r="G666" s="1" t="s">
        <v>216</v>
      </c>
      <c r="H666" s="1" t="s">
        <v>29</v>
      </c>
      <c r="I666" s="1" t="s">
        <v>64</v>
      </c>
      <c r="J666" s="1" t="s">
        <v>32</v>
      </c>
      <c r="K666" s="1" t="s">
        <v>65</v>
      </c>
      <c r="L666">
        <v>2</v>
      </c>
      <c r="M666">
        <v>0</v>
      </c>
      <c r="N666">
        <v>0</v>
      </c>
      <c r="O666">
        <v>6</v>
      </c>
      <c r="P666">
        <v>2</v>
      </c>
      <c r="Q666">
        <v>0</v>
      </c>
      <c r="R666">
        <v>0</v>
      </c>
      <c r="S666">
        <v>0</v>
      </c>
      <c r="T666">
        <v>0</v>
      </c>
      <c r="U666" s="1" t="s">
        <v>66</v>
      </c>
      <c r="V666" s="1" t="s">
        <v>67</v>
      </c>
      <c r="W666" s="1">
        <f t="shared" si="10"/>
        <v>22.6</v>
      </c>
      <c r="X666" s="1" t="s">
        <v>68</v>
      </c>
      <c r="Y666">
        <v>1</v>
      </c>
      <c r="Z666">
        <v>0</v>
      </c>
      <c r="AA666">
        <v>36</v>
      </c>
    </row>
    <row r="667" spans="1:27" x14ac:dyDescent="0.3">
      <c r="A667" s="1" t="s">
        <v>2605</v>
      </c>
      <c r="B667">
        <v>666</v>
      </c>
      <c r="C667" s="1" t="s">
        <v>2606</v>
      </c>
      <c r="D667" s="1" t="s">
        <v>333</v>
      </c>
      <c r="E667" s="1" t="s">
        <v>39</v>
      </c>
      <c r="F667" s="1" t="s">
        <v>334</v>
      </c>
      <c r="G667" s="1" t="s">
        <v>223</v>
      </c>
      <c r="H667" s="1" t="s">
        <v>32</v>
      </c>
      <c r="I667" s="1" t="s">
        <v>64</v>
      </c>
      <c r="J667" s="1" t="s">
        <v>74</v>
      </c>
      <c r="K667" s="1" t="s">
        <v>2110</v>
      </c>
      <c r="L667">
        <v>3</v>
      </c>
      <c r="M667">
        <v>2</v>
      </c>
      <c r="N667">
        <v>0</v>
      </c>
      <c r="O667">
        <v>1</v>
      </c>
      <c r="P667">
        <v>5</v>
      </c>
      <c r="Q667">
        <v>0</v>
      </c>
      <c r="R667">
        <v>0</v>
      </c>
      <c r="S667">
        <v>0</v>
      </c>
      <c r="T667">
        <v>0</v>
      </c>
      <c r="U667" s="1" t="s">
        <v>176</v>
      </c>
      <c r="V667" s="1" t="s">
        <v>177</v>
      </c>
      <c r="W667" s="1">
        <f t="shared" si="10"/>
        <v>61.02</v>
      </c>
      <c r="X667" s="1" t="s">
        <v>178</v>
      </c>
      <c r="Y667">
        <v>1</v>
      </c>
      <c r="Z667">
        <v>0</v>
      </c>
      <c r="AA667">
        <v>37</v>
      </c>
    </row>
    <row r="668" spans="1:27" x14ac:dyDescent="0.3">
      <c r="A668" s="1" t="s">
        <v>2607</v>
      </c>
      <c r="B668">
        <v>667</v>
      </c>
      <c r="C668" s="1" t="s">
        <v>2608</v>
      </c>
      <c r="D668" s="1" t="s">
        <v>340</v>
      </c>
      <c r="E668" s="1" t="s">
        <v>41</v>
      </c>
      <c r="F668" s="1" t="s">
        <v>340</v>
      </c>
      <c r="G668" s="1" t="s">
        <v>230</v>
      </c>
      <c r="H668" s="1" t="s">
        <v>41</v>
      </c>
      <c r="I668" s="1" t="s">
        <v>32</v>
      </c>
      <c r="J668" s="1" t="s">
        <v>74</v>
      </c>
      <c r="K668" s="1" t="s">
        <v>85</v>
      </c>
      <c r="L668">
        <v>3</v>
      </c>
      <c r="M668">
        <v>0</v>
      </c>
      <c r="N668">
        <v>0</v>
      </c>
      <c r="O668">
        <v>2</v>
      </c>
      <c r="P668">
        <v>3</v>
      </c>
      <c r="Q668">
        <v>0</v>
      </c>
      <c r="R668">
        <v>0</v>
      </c>
      <c r="S668">
        <v>1</v>
      </c>
      <c r="T668">
        <v>1</v>
      </c>
      <c r="U668" s="1" t="s">
        <v>86</v>
      </c>
      <c r="V668" s="1" t="s">
        <v>87</v>
      </c>
      <c r="W668" s="1">
        <f t="shared" si="10"/>
        <v>274.58999999999997</v>
      </c>
      <c r="X668" s="1" t="s">
        <v>88</v>
      </c>
      <c r="Y668">
        <v>1</v>
      </c>
      <c r="Z668">
        <v>1</v>
      </c>
      <c r="AA668">
        <v>38</v>
      </c>
    </row>
    <row r="669" spans="1:27" x14ac:dyDescent="0.3">
      <c r="A669" s="1" t="s">
        <v>2609</v>
      </c>
      <c r="B669">
        <v>668</v>
      </c>
      <c r="C669" s="1" t="s">
        <v>2610</v>
      </c>
      <c r="D669" s="1" t="s">
        <v>349</v>
      </c>
      <c r="E669" s="1" t="s">
        <v>32</v>
      </c>
      <c r="F669" s="1" t="s">
        <v>349</v>
      </c>
      <c r="G669" s="1" t="s">
        <v>238</v>
      </c>
      <c r="H669" s="1" t="s">
        <v>48</v>
      </c>
      <c r="I669" s="1" t="s">
        <v>32</v>
      </c>
      <c r="J669" s="1" t="s">
        <v>29</v>
      </c>
      <c r="K669" s="1" t="s">
        <v>94</v>
      </c>
      <c r="L669">
        <v>3</v>
      </c>
      <c r="M669">
        <v>1</v>
      </c>
      <c r="N669">
        <v>0</v>
      </c>
      <c r="O669">
        <v>3</v>
      </c>
      <c r="P669">
        <v>4</v>
      </c>
      <c r="Q669">
        <v>0</v>
      </c>
      <c r="R669">
        <v>0</v>
      </c>
      <c r="S669">
        <v>1</v>
      </c>
      <c r="T669">
        <v>1</v>
      </c>
      <c r="U669" s="1" t="s">
        <v>95</v>
      </c>
      <c r="V669" s="1" t="s">
        <v>96</v>
      </c>
      <c r="W669" s="1">
        <f t="shared" si="10"/>
        <v>229.39</v>
      </c>
      <c r="X669" s="1" t="s">
        <v>97</v>
      </c>
      <c r="Y669">
        <v>1</v>
      </c>
      <c r="Z669">
        <v>1</v>
      </c>
      <c r="AA669">
        <v>39</v>
      </c>
    </row>
    <row r="670" spans="1:27" x14ac:dyDescent="0.3">
      <c r="A670" s="1" t="s">
        <v>2611</v>
      </c>
      <c r="B670">
        <v>669</v>
      </c>
      <c r="C670" s="1" t="s">
        <v>2612</v>
      </c>
      <c r="D670" s="1" t="s">
        <v>357</v>
      </c>
      <c r="E670" s="1" t="s">
        <v>29</v>
      </c>
      <c r="F670" s="1" t="s">
        <v>479</v>
      </c>
      <c r="G670" s="1" t="s">
        <v>242</v>
      </c>
      <c r="H670" s="1" t="s">
        <v>55</v>
      </c>
      <c r="I670" s="1" t="s">
        <v>32</v>
      </c>
      <c r="J670" s="1" t="s">
        <v>75</v>
      </c>
      <c r="K670" s="1" t="s">
        <v>263</v>
      </c>
      <c r="L670">
        <v>3</v>
      </c>
      <c r="M670">
        <v>0</v>
      </c>
      <c r="N670">
        <v>0</v>
      </c>
      <c r="O670">
        <v>4</v>
      </c>
      <c r="P670">
        <v>3</v>
      </c>
      <c r="Q670">
        <v>0</v>
      </c>
      <c r="R670">
        <v>0</v>
      </c>
      <c r="S670">
        <v>1</v>
      </c>
      <c r="T670">
        <v>1</v>
      </c>
      <c r="U670" s="1" t="s">
        <v>263</v>
      </c>
      <c r="V670" s="1" t="s">
        <v>104</v>
      </c>
      <c r="W670" s="1">
        <f t="shared" si="10"/>
        <v>76.84</v>
      </c>
      <c r="X670" s="1" t="s">
        <v>264</v>
      </c>
      <c r="Y670">
        <v>1</v>
      </c>
      <c r="Z670">
        <v>1</v>
      </c>
      <c r="AA670">
        <v>40</v>
      </c>
    </row>
    <row r="671" spans="1:27" x14ac:dyDescent="0.3">
      <c r="A671" s="1" t="s">
        <v>2613</v>
      </c>
      <c r="B671">
        <v>670</v>
      </c>
      <c r="C671" s="1" t="s">
        <v>2614</v>
      </c>
      <c r="D671" s="1" t="s">
        <v>364</v>
      </c>
      <c r="E671" s="1" t="s">
        <v>39</v>
      </c>
      <c r="F671" s="1" t="s">
        <v>39</v>
      </c>
      <c r="G671" s="1" t="s">
        <v>75</v>
      </c>
      <c r="H671" s="1" t="s">
        <v>63</v>
      </c>
      <c r="I671" s="1" t="s">
        <v>32</v>
      </c>
      <c r="J671" s="1" t="s">
        <v>41</v>
      </c>
      <c r="K671" s="1" t="s">
        <v>2615</v>
      </c>
      <c r="L671">
        <v>1</v>
      </c>
      <c r="M671">
        <v>0</v>
      </c>
      <c r="N671">
        <v>0</v>
      </c>
      <c r="O671">
        <v>5</v>
      </c>
      <c r="P671">
        <v>1</v>
      </c>
      <c r="Q671">
        <v>0</v>
      </c>
      <c r="R671">
        <v>0</v>
      </c>
      <c r="S671">
        <v>1</v>
      </c>
      <c r="T671">
        <v>1</v>
      </c>
      <c r="U671" s="1" t="s">
        <v>2616</v>
      </c>
      <c r="V671" s="1" t="s">
        <v>1335</v>
      </c>
      <c r="W671" s="1">
        <f t="shared" si="10"/>
        <v>78.649999999999906</v>
      </c>
      <c r="X671" s="1" t="s">
        <v>2617</v>
      </c>
      <c r="Y671">
        <v>1</v>
      </c>
      <c r="Z671">
        <v>1</v>
      </c>
      <c r="AA671">
        <v>41</v>
      </c>
    </row>
    <row r="672" spans="1:27" x14ac:dyDescent="0.3">
      <c r="A672" s="1" t="s">
        <v>2618</v>
      </c>
      <c r="B672">
        <v>671</v>
      </c>
      <c r="C672" s="1" t="s">
        <v>2619</v>
      </c>
      <c r="D672" s="1" t="s">
        <v>41</v>
      </c>
      <c r="E672" s="1" t="s">
        <v>41</v>
      </c>
      <c r="F672" s="1" t="s">
        <v>491</v>
      </c>
      <c r="G672" s="1" t="s">
        <v>251</v>
      </c>
      <c r="H672" s="1" t="s">
        <v>74</v>
      </c>
      <c r="I672" s="1" t="s">
        <v>32</v>
      </c>
      <c r="J672" s="1" t="s">
        <v>32</v>
      </c>
      <c r="K672" s="1" t="s">
        <v>1025</v>
      </c>
      <c r="L672">
        <v>1</v>
      </c>
      <c r="M672">
        <v>0</v>
      </c>
      <c r="N672">
        <v>0</v>
      </c>
      <c r="O672">
        <v>6</v>
      </c>
      <c r="P672">
        <v>1</v>
      </c>
      <c r="Q672">
        <v>0</v>
      </c>
      <c r="R672">
        <v>0</v>
      </c>
      <c r="S672">
        <v>1</v>
      </c>
      <c r="T672">
        <v>1</v>
      </c>
      <c r="U672" s="1" t="s">
        <v>1026</v>
      </c>
      <c r="V672" s="1" t="s">
        <v>1027</v>
      </c>
      <c r="W672" s="1">
        <f t="shared" si="10"/>
        <v>268.49</v>
      </c>
      <c r="X672" s="1" t="s">
        <v>121</v>
      </c>
      <c r="Y672">
        <v>1</v>
      </c>
      <c r="Z672">
        <v>1</v>
      </c>
      <c r="AA672">
        <v>42</v>
      </c>
    </row>
    <row r="673" spans="1:27" x14ac:dyDescent="0.3">
      <c r="A673" s="1" t="s">
        <v>2620</v>
      </c>
      <c r="B673">
        <v>672</v>
      </c>
      <c r="C673" s="1" t="s">
        <v>2621</v>
      </c>
      <c r="D673" s="1" t="s">
        <v>374</v>
      </c>
      <c r="E673" s="1" t="s">
        <v>32</v>
      </c>
      <c r="F673" s="1" t="s">
        <v>495</v>
      </c>
      <c r="G673" s="1" t="s">
        <v>254</v>
      </c>
      <c r="H673" s="1" t="s">
        <v>29</v>
      </c>
      <c r="I673" s="1" t="s">
        <v>32</v>
      </c>
      <c r="J673" s="1" t="s">
        <v>74</v>
      </c>
      <c r="K673" s="1" t="s">
        <v>126</v>
      </c>
      <c r="L673">
        <v>1</v>
      </c>
      <c r="M673">
        <v>2</v>
      </c>
      <c r="N673">
        <v>1</v>
      </c>
      <c r="O673">
        <v>1</v>
      </c>
      <c r="P673">
        <v>4</v>
      </c>
      <c r="Q673">
        <v>0</v>
      </c>
      <c r="R673">
        <v>0</v>
      </c>
      <c r="S673">
        <v>1</v>
      </c>
      <c r="T673">
        <v>1</v>
      </c>
      <c r="U673" s="1" t="s">
        <v>126</v>
      </c>
      <c r="V673" s="1" t="s">
        <v>127</v>
      </c>
      <c r="W673" s="1">
        <f t="shared" si="10"/>
        <v>47.46</v>
      </c>
      <c r="X673" s="1" t="s">
        <v>128</v>
      </c>
      <c r="Y673">
        <v>1</v>
      </c>
      <c r="Z673">
        <v>1</v>
      </c>
      <c r="AA673">
        <v>43</v>
      </c>
    </row>
    <row r="674" spans="1:27" x14ac:dyDescent="0.3">
      <c r="A674" s="1" t="s">
        <v>2622</v>
      </c>
      <c r="B674">
        <v>673</v>
      </c>
      <c r="C674" s="1" t="s">
        <v>2623</v>
      </c>
      <c r="D674" s="1" t="s">
        <v>381</v>
      </c>
      <c r="E674" s="1" t="s">
        <v>29</v>
      </c>
      <c r="F674" s="1" t="s">
        <v>501</v>
      </c>
      <c r="G674" s="1" t="s">
        <v>262</v>
      </c>
      <c r="H674" s="1" t="s">
        <v>32</v>
      </c>
      <c r="I674" s="1" t="s">
        <v>32</v>
      </c>
      <c r="J674" s="1" t="s">
        <v>29</v>
      </c>
      <c r="K674" s="1" t="s">
        <v>286</v>
      </c>
      <c r="L674">
        <v>2</v>
      </c>
      <c r="M674">
        <v>0</v>
      </c>
      <c r="N674">
        <v>0</v>
      </c>
      <c r="O674">
        <v>2</v>
      </c>
      <c r="P674">
        <v>2</v>
      </c>
      <c r="Q674">
        <v>0</v>
      </c>
      <c r="R674">
        <v>0</v>
      </c>
      <c r="S674">
        <v>1</v>
      </c>
      <c r="T674">
        <v>1</v>
      </c>
      <c r="U674" s="1" t="s">
        <v>287</v>
      </c>
      <c r="V674" s="1" t="s">
        <v>288</v>
      </c>
      <c r="W674" s="1">
        <f t="shared" si="10"/>
        <v>301.70999999999998</v>
      </c>
      <c r="X674" s="1" t="s">
        <v>289</v>
      </c>
      <c r="Y674">
        <v>1</v>
      </c>
      <c r="Z674">
        <v>1</v>
      </c>
      <c r="AA674">
        <v>44</v>
      </c>
    </row>
    <row r="675" spans="1:27" x14ac:dyDescent="0.3">
      <c r="A675" s="1" t="s">
        <v>2624</v>
      </c>
      <c r="B675">
        <v>674</v>
      </c>
      <c r="C675" s="1" t="s">
        <v>2625</v>
      </c>
      <c r="D675" s="1" t="s">
        <v>388</v>
      </c>
      <c r="E675" s="1" t="s">
        <v>39</v>
      </c>
      <c r="F675" s="1" t="s">
        <v>505</v>
      </c>
      <c r="G675" s="1" t="s">
        <v>267</v>
      </c>
      <c r="H675" s="1" t="s">
        <v>41</v>
      </c>
      <c r="I675" s="1" t="s">
        <v>32</v>
      </c>
      <c r="J675" s="1" t="s">
        <v>75</v>
      </c>
      <c r="K675" s="1" t="s">
        <v>142</v>
      </c>
      <c r="L675">
        <v>2</v>
      </c>
      <c r="M675">
        <v>0</v>
      </c>
      <c r="N675">
        <v>0</v>
      </c>
      <c r="O675">
        <v>3</v>
      </c>
      <c r="P675">
        <v>2</v>
      </c>
      <c r="Q675">
        <v>0</v>
      </c>
      <c r="R675">
        <v>0</v>
      </c>
      <c r="S675">
        <v>1</v>
      </c>
      <c r="T675">
        <v>1</v>
      </c>
      <c r="U675" s="1" t="s">
        <v>143</v>
      </c>
      <c r="V675" s="1" t="s">
        <v>144</v>
      </c>
      <c r="W675" s="1">
        <f t="shared" si="10"/>
        <v>202.26999999999899</v>
      </c>
      <c r="X675" s="1" t="s">
        <v>145</v>
      </c>
      <c r="Y675">
        <v>1</v>
      </c>
      <c r="Z675">
        <v>1</v>
      </c>
      <c r="AA675">
        <v>45</v>
      </c>
    </row>
    <row r="676" spans="1:27" x14ac:dyDescent="0.3">
      <c r="A676" s="1" t="s">
        <v>2626</v>
      </c>
      <c r="B676">
        <v>675</v>
      </c>
      <c r="C676" s="1" t="s">
        <v>2627</v>
      </c>
      <c r="D676" s="1" t="s">
        <v>393</v>
      </c>
      <c r="E676" s="1" t="s">
        <v>41</v>
      </c>
      <c r="F676" s="1" t="s">
        <v>513</v>
      </c>
      <c r="G676" s="1" t="s">
        <v>273</v>
      </c>
      <c r="H676" s="1" t="s">
        <v>48</v>
      </c>
      <c r="I676" s="1" t="s">
        <v>32</v>
      </c>
      <c r="J676" s="1" t="s">
        <v>41</v>
      </c>
      <c r="K676" s="1" t="s">
        <v>151</v>
      </c>
      <c r="L676">
        <v>2</v>
      </c>
      <c r="M676">
        <v>0</v>
      </c>
      <c r="N676">
        <v>0</v>
      </c>
      <c r="O676">
        <v>4</v>
      </c>
      <c r="P676">
        <v>2</v>
      </c>
      <c r="Q676">
        <v>0</v>
      </c>
      <c r="R676">
        <v>0</v>
      </c>
      <c r="S676">
        <v>1</v>
      </c>
      <c r="T676">
        <v>1</v>
      </c>
      <c r="U676" s="1" t="s">
        <v>151</v>
      </c>
      <c r="V676" s="1" t="s">
        <v>152</v>
      </c>
      <c r="W676" s="1">
        <f t="shared" si="10"/>
        <v>63.28</v>
      </c>
      <c r="X676" s="1" t="s">
        <v>153</v>
      </c>
      <c r="Y676">
        <v>1</v>
      </c>
      <c r="Z676">
        <v>1</v>
      </c>
      <c r="AA676">
        <v>46</v>
      </c>
    </row>
    <row r="677" spans="1:27" x14ac:dyDescent="0.3">
      <c r="A677" s="1" t="s">
        <v>2628</v>
      </c>
      <c r="B677">
        <v>676</v>
      </c>
      <c r="C677" s="1" t="s">
        <v>2629</v>
      </c>
      <c r="D677" s="1" t="s">
        <v>280</v>
      </c>
      <c r="E677" s="1" t="s">
        <v>32</v>
      </c>
      <c r="F677" s="1" t="s">
        <v>280</v>
      </c>
      <c r="G677" s="1" t="s">
        <v>280</v>
      </c>
      <c r="H677" s="1" t="s">
        <v>55</v>
      </c>
      <c r="I677" s="1" t="s">
        <v>32</v>
      </c>
      <c r="J677" s="1" t="s">
        <v>32</v>
      </c>
      <c r="K677" s="1" t="s">
        <v>159</v>
      </c>
      <c r="L677">
        <v>3</v>
      </c>
      <c r="M677">
        <v>1</v>
      </c>
      <c r="N677">
        <v>0</v>
      </c>
      <c r="O677">
        <v>5</v>
      </c>
      <c r="P677">
        <v>4</v>
      </c>
      <c r="Q677">
        <v>0</v>
      </c>
      <c r="R677">
        <v>0</v>
      </c>
      <c r="S677">
        <v>1</v>
      </c>
      <c r="T677">
        <v>1</v>
      </c>
      <c r="U677" s="1" t="s">
        <v>160</v>
      </c>
      <c r="V677" s="1" t="s">
        <v>161</v>
      </c>
      <c r="W677" s="1">
        <f t="shared" si="10"/>
        <v>66.67</v>
      </c>
      <c r="X677" s="1" t="s">
        <v>57</v>
      </c>
      <c r="Y677">
        <v>1</v>
      </c>
      <c r="Z677">
        <v>1</v>
      </c>
      <c r="AA677">
        <v>47</v>
      </c>
    </row>
    <row r="678" spans="1:27" x14ac:dyDescent="0.3">
      <c r="A678" s="1" t="s">
        <v>2630</v>
      </c>
      <c r="B678">
        <v>677</v>
      </c>
      <c r="C678" s="1" t="s">
        <v>2631</v>
      </c>
      <c r="D678" s="1" t="s">
        <v>408</v>
      </c>
      <c r="E678" s="1" t="s">
        <v>29</v>
      </c>
      <c r="F678" s="1" t="s">
        <v>523</v>
      </c>
      <c r="G678" s="1" t="s">
        <v>285</v>
      </c>
      <c r="H678" s="1" t="s">
        <v>63</v>
      </c>
      <c r="I678" s="1" t="s">
        <v>32</v>
      </c>
      <c r="J678" s="1" t="s">
        <v>74</v>
      </c>
      <c r="K678" s="1" t="s">
        <v>1048</v>
      </c>
      <c r="L678">
        <v>3</v>
      </c>
      <c r="M678">
        <v>0</v>
      </c>
      <c r="N678">
        <v>0</v>
      </c>
      <c r="O678">
        <v>6</v>
      </c>
      <c r="P678">
        <v>3</v>
      </c>
      <c r="Q678">
        <v>0</v>
      </c>
      <c r="R678">
        <v>0</v>
      </c>
      <c r="S678">
        <v>1</v>
      </c>
      <c r="T678">
        <v>1</v>
      </c>
      <c r="U678" s="1" t="s">
        <v>1049</v>
      </c>
      <c r="V678" s="1" t="s">
        <v>588</v>
      </c>
      <c r="W678" s="1">
        <f t="shared" si="10"/>
        <v>263.97000000000003</v>
      </c>
      <c r="X678" s="1" t="s">
        <v>1050</v>
      </c>
      <c r="Y678">
        <v>1</v>
      </c>
      <c r="Z678">
        <v>1</v>
      </c>
      <c r="AA678">
        <v>48</v>
      </c>
    </row>
    <row r="679" spans="1:27" x14ac:dyDescent="0.3">
      <c r="A679" s="1" t="s">
        <v>2632</v>
      </c>
      <c r="B679">
        <v>678</v>
      </c>
      <c r="C679" s="1" t="s">
        <v>2633</v>
      </c>
      <c r="D679" s="1" t="s">
        <v>413</v>
      </c>
      <c r="E679" s="1" t="s">
        <v>39</v>
      </c>
      <c r="F679" s="1" t="s">
        <v>530</v>
      </c>
      <c r="G679" s="1" t="s">
        <v>292</v>
      </c>
      <c r="H679" s="1" t="s">
        <v>74</v>
      </c>
      <c r="I679" s="1" t="s">
        <v>32</v>
      </c>
      <c r="J679" s="1" t="s">
        <v>29</v>
      </c>
      <c r="K679" s="1" t="s">
        <v>77</v>
      </c>
      <c r="L679">
        <v>3</v>
      </c>
      <c r="M679">
        <v>2</v>
      </c>
      <c r="N679">
        <v>0</v>
      </c>
      <c r="O679">
        <v>1</v>
      </c>
      <c r="P679">
        <v>5</v>
      </c>
      <c r="Q679">
        <v>0</v>
      </c>
      <c r="R679">
        <v>0</v>
      </c>
      <c r="S679">
        <v>1</v>
      </c>
      <c r="T679">
        <v>1</v>
      </c>
      <c r="U679" s="1" t="s">
        <v>77</v>
      </c>
      <c r="V679" s="1" t="s">
        <v>78</v>
      </c>
      <c r="W679" s="1">
        <f t="shared" si="10"/>
        <v>54.92</v>
      </c>
      <c r="X679" s="1" t="s">
        <v>79</v>
      </c>
      <c r="Y679">
        <v>1</v>
      </c>
      <c r="Z679">
        <v>1</v>
      </c>
      <c r="AA679">
        <v>49</v>
      </c>
    </row>
    <row r="680" spans="1:27" x14ac:dyDescent="0.3">
      <c r="A680" s="1" t="s">
        <v>2634</v>
      </c>
      <c r="B680">
        <v>679</v>
      </c>
      <c r="C680" s="1" t="s">
        <v>2635</v>
      </c>
      <c r="D680" s="1" t="s">
        <v>419</v>
      </c>
      <c r="E680" s="1" t="s">
        <v>41</v>
      </c>
      <c r="F680" s="1" t="s">
        <v>534</v>
      </c>
      <c r="G680" s="1" t="s">
        <v>74</v>
      </c>
      <c r="H680" s="1" t="s">
        <v>29</v>
      </c>
      <c r="I680" s="1" t="s">
        <v>32</v>
      </c>
      <c r="J680" s="1" t="s">
        <v>75</v>
      </c>
      <c r="K680" s="1" t="s">
        <v>85</v>
      </c>
      <c r="L680">
        <v>3</v>
      </c>
      <c r="M680">
        <v>0</v>
      </c>
      <c r="N680">
        <v>0</v>
      </c>
      <c r="O680">
        <v>2</v>
      </c>
      <c r="P680">
        <v>3</v>
      </c>
      <c r="Q680">
        <v>0</v>
      </c>
      <c r="R680">
        <v>0</v>
      </c>
      <c r="S680">
        <v>1</v>
      </c>
      <c r="T680">
        <v>1</v>
      </c>
      <c r="U680" s="1" t="s">
        <v>86</v>
      </c>
      <c r="V680" s="1" t="s">
        <v>87</v>
      </c>
      <c r="W680" s="1">
        <f t="shared" si="10"/>
        <v>274.58999999999997</v>
      </c>
      <c r="X680" s="1" t="s">
        <v>88</v>
      </c>
      <c r="Y680">
        <v>1</v>
      </c>
      <c r="Z680">
        <v>1</v>
      </c>
      <c r="AA680">
        <v>50</v>
      </c>
    </row>
    <row r="681" spans="1:27" x14ac:dyDescent="0.3">
      <c r="A681" s="1" t="s">
        <v>2636</v>
      </c>
      <c r="B681">
        <v>680</v>
      </c>
      <c r="C681" s="1" t="s">
        <v>2637</v>
      </c>
      <c r="D681" s="1" t="s">
        <v>425</v>
      </c>
      <c r="E681" s="1" t="s">
        <v>32</v>
      </c>
      <c r="F681" s="1" t="s">
        <v>539</v>
      </c>
      <c r="G681" s="1" t="s">
        <v>301</v>
      </c>
      <c r="H681" s="1" t="s">
        <v>32</v>
      </c>
      <c r="I681" s="1" t="s">
        <v>32</v>
      </c>
      <c r="J681" s="1" t="s">
        <v>41</v>
      </c>
      <c r="K681" s="1" t="s">
        <v>2150</v>
      </c>
      <c r="L681">
        <v>1</v>
      </c>
      <c r="M681">
        <v>1</v>
      </c>
      <c r="N681">
        <v>0</v>
      </c>
      <c r="O681">
        <v>3</v>
      </c>
      <c r="P681">
        <v>2</v>
      </c>
      <c r="Q681">
        <v>0</v>
      </c>
      <c r="R681">
        <v>0</v>
      </c>
      <c r="S681">
        <v>1</v>
      </c>
      <c r="T681">
        <v>1</v>
      </c>
      <c r="U681" s="1" t="s">
        <v>2151</v>
      </c>
      <c r="V681" s="1" t="s">
        <v>96</v>
      </c>
      <c r="W681" s="1">
        <f t="shared" si="10"/>
        <v>229.39</v>
      </c>
      <c r="X681" s="1" t="s">
        <v>193</v>
      </c>
      <c r="Y681">
        <v>1</v>
      </c>
      <c r="Z681">
        <v>1</v>
      </c>
      <c r="AA681">
        <v>51</v>
      </c>
    </row>
    <row r="682" spans="1:27" x14ac:dyDescent="0.3">
      <c r="A682" s="1" t="s">
        <v>2638</v>
      </c>
      <c r="B682">
        <v>681</v>
      </c>
      <c r="C682" s="1" t="s">
        <v>2639</v>
      </c>
      <c r="D682" s="1" t="s">
        <v>33</v>
      </c>
      <c r="E682" s="1" t="s">
        <v>29</v>
      </c>
      <c r="F682" s="1" t="s">
        <v>33</v>
      </c>
      <c r="G682" s="1" t="s">
        <v>33</v>
      </c>
      <c r="H682" s="1" t="s">
        <v>41</v>
      </c>
      <c r="I682" s="1" t="s">
        <v>33</v>
      </c>
      <c r="J682" s="1" t="s">
        <v>33</v>
      </c>
      <c r="K682" s="1" t="s">
        <v>34</v>
      </c>
      <c r="L682">
        <v>1</v>
      </c>
      <c r="M682">
        <v>0</v>
      </c>
      <c r="N682">
        <v>0</v>
      </c>
      <c r="O682">
        <v>4</v>
      </c>
      <c r="P682">
        <v>1</v>
      </c>
      <c r="Q682">
        <v>1</v>
      </c>
      <c r="R682">
        <v>0</v>
      </c>
      <c r="S682">
        <v>0</v>
      </c>
      <c r="T682">
        <v>0</v>
      </c>
      <c r="U682" s="1" t="s">
        <v>1158</v>
      </c>
      <c r="V682" s="1">
        <v>0</v>
      </c>
      <c r="W682" s="1">
        <f t="shared" si="10"/>
        <v>0</v>
      </c>
      <c r="X682" s="1" t="s">
        <v>1158</v>
      </c>
      <c r="Y682">
        <v>1</v>
      </c>
      <c r="Z682">
        <v>0</v>
      </c>
      <c r="AA682">
        <v>52</v>
      </c>
    </row>
    <row r="683" spans="1:27" x14ac:dyDescent="0.3">
      <c r="A683" s="1" t="s">
        <v>2640</v>
      </c>
      <c r="B683">
        <v>682</v>
      </c>
      <c r="C683" s="1" t="s">
        <v>2641</v>
      </c>
      <c r="D683" s="1" t="s">
        <v>437</v>
      </c>
      <c r="E683" s="1" t="s">
        <v>39</v>
      </c>
      <c r="F683" s="1" t="s">
        <v>551</v>
      </c>
      <c r="G683" s="1" t="s">
        <v>313</v>
      </c>
      <c r="H683" s="1" t="s">
        <v>48</v>
      </c>
      <c r="I683" s="1" t="s">
        <v>33</v>
      </c>
      <c r="J683" s="1" t="s">
        <v>33</v>
      </c>
      <c r="K683" s="1" t="s">
        <v>34</v>
      </c>
      <c r="L683">
        <v>1</v>
      </c>
      <c r="M683">
        <v>0</v>
      </c>
      <c r="N683">
        <v>0</v>
      </c>
      <c r="O683">
        <v>5</v>
      </c>
      <c r="P683">
        <v>1</v>
      </c>
      <c r="Q683">
        <v>1</v>
      </c>
      <c r="R683">
        <v>0</v>
      </c>
      <c r="S683">
        <v>0</v>
      </c>
      <c r="T683">
        <v>0</v>
      </c>
      <c r="U683" s="1" t="s">
        <v>416</v>
      </c>
      <c r="V683" s="1">
        <v>0</v>
      </c>
      <c r="W683" s="1">
        <f t="shared" si="10"/>
        <v>0</v>
      </c>
      <c r="X683" s="1" t="s">
        <v>416</v>
      </c>
      <c r="Y683">
        <v>1</v>
      </c>
      <c r="Z683">
        <v>0</v>
      </c>
      <c r="AA683">
        <v>53</v>
      </c>
    </row>
    <row r="684" spans="1:27" x14ac:dyDescent="0.3">
      <c r="A684" s="1" t="s">
        <v>2642</v>
      </c>
      <c r="B684">
        <v>683</v>
      </c>
      <c r="C684" s="1" t="s">
        <v>2643</v>
      </c>
      <c r="D684" s="1" t="s">
        <v>442</v>
      </c>
      <c r="E684" s="1" t="s">
        <v>41</v>
      </c>
      <c r="F684" s="1" t="s">
        <v>554</v>
      </c>
      <c r="G684" s="1" t="s">
        <v>318</v>
      </c>
      <c r="H684" s="1" t="s">
        <v>55</v>
      </c>
      <c r="I684" s="1" t="s">
        <v>33</v>
      </c>
      <c r="J684" s="1" t="s">
        <v>33</v>
      </c>
      <c r="K684" s="1" t="s">
        <v>34</v>
      </c>
      <c r="L684">
        <v>2</v>
      </c>
      <c r="M684">
        <v>0</v>
      </c>
      <c r="N684">
        <v>0</v>
      </c>
      <c r="O684">
        <v>6</v>
      </c>
      <c r="P684">
        <v>2</v>
      </c>
      <c r="Q684">
        <v>1</v>
      </c>
      <c r="R684">
        <v>0</v>
      </c>
      <c r="S684">
        <v>0</v>
      </c>
      <c r="T684">
        <v>0</v>
      </c>
      <c r="U684" s="1" t="s">
        <v>556</v>
      </c>
      <c r="V684" s="1">
        <v>0</v>
      </c>
      <c r="W684" s="1">
        <f t="shared" si="10"/>
        <v>0</v>
      </c>
      <c r="X684" s="1" t="s">
        <v>556</v>
      </c>
      <c r="Y684">
        <v>1</v>
      </c>
      <c r="Z684">
        <v>0</v>
      </c>
      <c r="AA684">
        <v>54</v>
      </c>
    </row>
    <row r="685" spans="1:27" x14ac:dyDescent="0.3">
      <c r="A685" s="1" t="s">
        <v>2644</v>
      </c>
      <c r="B685">
        <v>684</v>
      </c>
      <c r="C685" s="1" t="s">
        <v>2645</v>
      </c>
      <c r="D685" s="1" t="s">
        <v>447</v>
      </c>
      <c r="E685" s="1" t="s">
        <v>32</v>
      </c>
      <c r="F685" s="1" t="s">
        <v>448</v>
      </c>
      <c r="G685" s="1" t="s">
        <v>322</v>
      </c>
      <c r="H685" s="1" t="s">
        <v>63</v>
      </c>
      <c r="I685" s="1" t="s">
        <v>56</v>
      </c>
      <c r="J685" s="1" t="s">
        <v>33</v>
      </c>
      <c r="K685" s="1" t="s">
        <v>34</v>
      </c>
      <c r="L685">
        <v>2</v>
      </c>
      <c r="M685">
        <v>2</v>
      </c>
      <c r="N685">
        <v>1</v>
      </c>
      <c r="O685">
        <v>1</v>
      </c>
      <c r="P685">
        <v>5</v>
      </c>
      <c r="Q685">
        <v>0</v>
      </c>
      <c r="R685">
        <v>1</v>
      </c>
      <c r="S685">
        <v>0</v>
      </c>
      <c r="T685">
        <v>0</v>
      </c>
      <c r="U685" s="1" t="s">
        <v>497</v>
      </c>
      <c r="V685" s="1">
        <v>0</v>
      </c>
      <c r="W685" s="1">
        <f t="shared" si="10"/>
        <v>0</v>
      </c>
      <c r="X685" s="1" t="s">
        <v>497</v>
      </c>
      <c r="Y685">
        <v>1</v>
      </c>
      <c r="Z685">
        <v>0</v>
      </c>
      <c r="AA685">
        <v>55</v>
      </c>
    </row>
    <row r="686" spans="1:27" x14ac:dyDescent="0.3">
      <c r="A686" s="1" t="s">
        <v>2646</v>
      </c>
      <c r="B686">
        <v>685</v>
      </c>
      <c r="C686" s="1" t="s">
        <v>2647</v>
      </c>
      <c r="D686" s="1" t="s">
        <v>451</v>
      </c>
      <c r="E686" s="1" t="s">
        <v>29</v>
      </c>
      <c r="F686" s="1" t="s">
        <v>565</v>
      </c>
      <c r="G686" s="1" t="s">
        <v>327</v>
      </c>
      <c r="H686" s="1" t="s">
        <v>74</v>
      </c>
      <c r="I686" s="1" t="s">
        <v>64</v>
      </c>
      <c r="J686" s="1" t="s">
        <v>74</v>
      </c>
      <c r="K686" s="1" t="s">
        <v>2648</v>
      </c>
      <c r="L686">
        <v>2</v>
      </c>
      <c r="M686">
        <v>0</v>
      </c>
      <c r="N686">
        <v>0</v>
      </c>
      <c r="O686">
        <v>2</v>
      </c>
      <c r="P686">
        <v>2</v>
      </c>
      <c r="Q686">
        <v>0</v>
      </c>
      <c r="R686">
        <v>0</v>
      </c>
      <c r="S686">
        <v>0</v>
      </c>
      <c r="T686">
        <v>0</v>
      </c>
      <c r="U686" s="1" t="s">
        <v>2649</v>
      </c>
      <c r="V686" s="1" t="s">
        <v>1391</v>
      </c>
      <c r="W686" s="1">
        <f t="shared" si="10"/>
        <v>186.11</v>
      </c>
      <c r="X686" s="1" t="s">
        <v>2650</v>
      </c>
      <c r="Y686">
        <v>1</v>
      </c>
      <c r="Z686">
        <v>0</v>
      </c>
      <c r="AA686">
        <v>56</v>
      </c>
    </row>
    <row r="687" spans="1:27" x14ac:dyDescent="0.3">
      <c r="A687" s="1" t="s">
        <v>2651</v>
      </c>
      <c r="B687">
        <v>686</v>
      </c>
      <c r="C687" s="1" t="s">
        <v>2652</v>
      </c>
      <c r="D687" s="1" t="s">
        <v>459</v>
      </c>
      <c r="E687" s="1" t="s">
        <v>39</v>
      </c>
      <c r="F687" s="1" t="s">
        <v>459</v>
      </c>
      <c r="G687" s="1" t="s">
        <v>334</v>
      </c>
      <c r="H687" s="1" t="s">
        <v>29</v>
      </c>
      <c r="I687" s="1" t="s">
        <v>64</v>
      </c>
      <c r="J687" s="1" t="s">
        <v>29</v>
      </c>
      <c r="K687" s="1" t="s">
        <v>574</v>
      </c>
      <c r="L687">
        <v>3</v>
      </c>
      <c r="M687">
        <v>0</v>
      </c>
      <c r="N687">
        <v>0</v>
      </c>
      <c r="O687">
        <v>3</v>
      </c>
      <c r="P687">
        <v>3</v>
      </c>
      <c r="Q687">
        <v>0</v>
      </c>
      <c r="R687">
        <v>0</v>
      </c>
      <c r="S687">
        <v>0</v>
      </c>
      <c r="T687">
        <v>0</v>
      </c>
      <c r="U687" s="1" t="s">
        <v>57</v>
      </c>
      <c r="V687" s="1" t="s">
        <v>226</v>
      </c>
      <c r="W687" s="1">
        <f t="shared" si="10"/>
        <v>94.92</v>
      </c>
      <c r="X687" s="1" t="s">
        <v>439</v>
      </c>
      <c r="Y687">
        <v>1</v>
      </c>
      <c r="Z687">
        <v>0</v>
      </c>
      <c r="AA687">
        <v>57</v>
      </c>
    </row>
    <row r="688" spans="1:27" x14ac:dyDescent="0.3">
      <c r="A688" s="1" t="s">
        <v>2653</v>
      </c>
      <c r="B688">
        <v>687</v>
      </c>
      <c r="C688" s="1" t="s">
        <v>2654</v>
      </c>
      <c r="D688" s="1" t="s">
        <v>466</v>
      </c>
      <c r="E688" s="1" t="s">
        <v>41</v>
      </c>
      <c r="F688" s="1" t="s">
        <v>467</v>
      </c>
      <c r="G688" s="1" t="s">
        <v>342</v>
      </c>
      <c r="H688" s="1" t="s">
        <v>32</v>
      </c>
      <c r="I688" s="1" t="s">
        <v>32</v>
      </c>
      <c r="J688" s="1" t="s">
        <v>29</v>
      </c>
      <c r="K688" s="1" t="s">
        <v>370</v>
      </c>
      <c r="L688">
        <v>3</v>
      </c>
      <c r="M688">
        <v>0</v>
      </c>
      <c r="N688">
        <v>0</v>
      </c>
      <c r="O688">
        <v>4</v>
      </c>
      <c r="P688">
        <v>3</v>
      </c>
      <c r="Q688">
        <v>0</v>
      </c>
      <c r="R688">
        <v>0</v>
      </c>
      <c r="S688">
        <v>1</v>
      </c>
      <c r="T688">
        <v>1</v>
      </c>
      <c r="U688" s="1" t="s">
        <v>370</v>
      </c>
      <c r="V688" s="1" t="s">
        <v>152</v>
      </c>
      <c r="W688" s="1">
        <f t="shared" si="10"/>
        <v>63.28</v>
      </c>
      <c r="X688" s="1" t="s">
        <v>371</v>
      </c>
      <c r="Y688">
        <v>1</v>
      </c>
      <c r="Z688">
        <v>1</v>
      </c>
      <c r="AA688">
        <v>58</v>
      </c>
    </row>
    <row r="689" spans="1:27" x14ac:dyDescent="0.3">
      <c r="A689" s="1" t="s">
        <v>2655</v>
      </c>
      <c r="B689">
        <v>688</v>
      </c>
      <c r="C689" s="1" t="s">
        <v>2656</v>
      </c>
      <c r="D689" s="1" t="s">
        <v>471</v>
      </c>
      <c r="E689" s="1" t="s">
        <v>32</v>
      </c>
      <c r="F689" s="1" t="s">
        <v>581</v>
      </c>
      <c r="G689" s="1" t="s">
        <v>351</v>
      </c>
      <c r="H689" s="1" t="s">
        <v>41</v>
      </c>
      <c r="I689" s="1" t="s">
        <v>32</v>
      </c>
      <c r="J689" s="1" t="s">
        <v>75</v>
      </c>
      <c r="K689" s="1" t="s">
        <v>376</v>
      </c>
      <c r="L689">
        <v>3</v>
      </c>
      <c r="M689">
        <v>1</v>
      </c>
      <c r="N689">
        <v>0</v>
      </c>
      <c r="O689">
        <v>5</v>
      </c>
      <c r="P689">
        <v>4</v>
      </c>
      <c r="Q689">
        <v>0</v>
      </c>
      <c r="R689">
        <v>0</v>
      </c>
      <c r="S689">
        <v>1</v>
      </c>
      <c r="T689">
        <v>1</v>
      </c>
      <c r="U689" s="1" t="s">
        <v>377</v>
      </c>
      <c r="V689" s="1" t="s">
        <v>161</v>
      </c>
      <c r="W689" s="1">
        <f t="shared" si="10"/>
        <v>66.67</v>
      </c>
      <c r="X689" s="1" t="s">
        <v>378</v>
      </c>
      <c r="Y689">
        <v>1</v>
      </c>
      <c r="Z689">
        <v>1</v>
      </c>
      <c r="AA689">
        <v>59</v>
      </c>
    </row>
    <row r="690" spans="1:27" x14ac:dyDescent="0.3">
      <c r="A690" s="1" t="s">
        <v>2657</v>
      </c>
      <c r="B690">
        <v>689</v>
      </c>
      <c r="C690" s="1" t="s">
        <v>2658</v>
      </c>
      <c r="D690" s="1" t="s">
        <v>478</v>
      </c>
      <c r="E690" s="1" t="s">
        <v>29</v>
      </c>
      <c r="F690" s="1" t="s">
        <v>584</v>
      </c>
      <c r="G690" s="1" t="s">
        <v>358</v>
      </c>
      <c r="H690" s="1" t="s">
        <v>48</v>
      </c>
      <c r="I690" s="1" t="s">
        <v>32</v>
      </c>
      <c r="J690" s="1" t="s">
        <v>41</v>
      </c>
      <c r="K690" s="1" t="s">
        <v>525</v>
      </c>
      <c r="L690">
        <v>3</v>
      </c>
      <c r="M690">
        <v>0</v>
      </c>
      <c r="N690">
        <v>0</v>
      </c>
      <c r="O690">
        <v>6</v>
      </c>
      <c r="P690">
        <v>3</v>
      </c>
      <c r="Q690">
        <v>0</v>
      </c>
      <c r="R690">
        <v>0</v>
      </c>
      <c r="S690">
        <v>1</v>
      </c>
      <c r="T690">
        <v>1</v>
      </c>
      <c r="U690" s="1" t="s">
        <v>526</v>
      </c>
      <c r="V690" s="1" t="s">
        <v>169</v>
      </c>
      <c r="W690" s="1">
        <f t="shared" si="10"/>
        <v>270.07</v>
      </c>
      <c r="X690" s="1" t="s">
        <v>310</v>
      </c>
      <c r="Y690">
        <v>1</v>
      </c>
      <c r="Z690">
        <v>1</v>
      </c>
      <c r="AA690">
        <v>60</v>
      </c>
    </row>
    <row r="691" spans="1:27" x14ac:dyDescent="0.3">
      <c r="A691" s="1" t="s">
        <v>2659</v>
      </c>
      <c r="B691">
        <v>690</v>
      </c>
      <c r="C691" s="1" t="s">
        <v>2660</v>
      </c>
      <c r="D691" s="1" t="s">
        <v>39</v>
      </c>
      <c r="E691" s="1" t="s">
        <v>39</v>
      </c>
      <c r="F691" s="1" t="s">
        <v>592</v>
      </c>
      <c r="G691" s="1" t="s">
        <v>364</v>
      </c>
      <c r="H691" s="1" t="s">
        <v>55</v>
      </c>
      <c r="I691" s="1" t="s">
        <v>32</v>
      </c>
      <c r="J691" s="1" t="s">
        <v>32</v>
      </c>
      <c r="K691" s="1" t="s">
        <v>1194</v>
      </c>
      <c r="L691">
        <v>1</v>
      </c>
      <c r="M691">
        <v>2</v>
      </c>
      <c r="N691">
        <v>0</v>
      </c>
      <c r="O691">
        <v>1</v>
      </c>
      <c r="P691">
        <v>3</v>
      </c>
      <c r="Q691">
        <v>0</v>
      </c>
      <c r="R691">
        <v>0</v>
      </c>
      <c r="S691">
        <v>1</v>
      </c>
      <c r="T691">
        <v>1</v>
      </c>
      <c r="U691" s="1" t="s">
        <v>1194</v>
      </c>
      <c r="V691" s="1" t="s">
        <v>177</v>
      </c>
      <c r="W691" s="1">
        <f t="shared" si="10"/>
        <v>61.02</v>
      </c>
      <c r="X691" s="1" t="s">
        <v>1195</v>
      </c>
      <c r="Y691">
        <v>1</v>
      </c>
      <c r="Z691">
        <v>1</v>
      </c>
      <c r="AA691">
        <v>61</v>
      </c>
    </row>
    <row r="692" spans="1:27" x14ac:dyDescent="0.3">
      <c r="A692" s="1" t="s">
        <v>2661</v>
      </c>
      <c r="B692">
        <v>691</v>
      </c>
      <c r="C692" s="1" t="s">
        <v>2662</v>
      </c>
      <c r="D692" s="1" t="s">
        <v>490</v>
      </c>
      <c r="E692" s="1" t="s">
        <v>41</v>
      </c>
      <c r="F692" s="1" t="s">
        <v>597</v>
      </c>
      <c r="G692" s="1" t="s">
        <v>41</v>
      </c>
      <c r="H692" s="1" t="s">
        <v>63</v>
      </c>
      <c r="I692" s="1" t="s">
        <v>32</v>
      </c>
      <c r="J692" s="1" t="s">
        <v>74</v>
      </c>
      <c r="K692" s="1" t="s">
        <v>2663</v>
      </c>
      <c r="L692">
        <v>1</v>
      </c>
      <c r="M692">
        <v>0</v>
      </c>
      <c r="N692">
        <v>0</v>
      </c>
      <c r="O692">
        <v>2</v>
      </c>
      <c r="P692">
        <v>1</v>
      </c>
      <c r="Q692">
        <v>0</v>
      </c>
      <c r="R692">
        <v>0</v>
      </c>
      <c r="S692">
        <v>1</v>
      </c>
      <c r="T692">
        <v>1</v>
      </c>
      <c r="U692" s="1" t="s">
        <v>1545</v>
      </c>
      <c r="V692" s="1" t="s">
        <v>184</v>
      </c>
      <c r="W692" s="1">
        <f t="shared" si="10"/>
        <v>265.77999999999997</v>
      </c>
      <c r="X692" s="1" t="s">
        <v>468</v>
      </c>
      <c r="Y692">
        <v>1</v>
      </c>
      <c r="Z692">
        <v>1</v>
      </c>
      <c r="AA692">
        <v>62</v>
      </c>
    </row>
    <row r="693" spans="1:27" x14ac:dyDescent="0.3">
      <c r="A693" s="1" t="s">
        <v>2664</v>
      </c>
      <c r="B693">
        <v>692</v>
      </c>
      <c r="C693" s="1" t="s">
        <v>2665</v>
      </c>
      <c r="D693" s="1" t="s">
        <v>495</v>
      </c>
      <c r="E693" s="1" t="s">
        <v>32</v>
      </c>
      <c r="F693" s="1" t="s">
        <v>601</v>
      </c>
      <c r="G693" s="1" t="s">
        <v>375</v>
      </c>
      <c r="H693" s="1" t="s">
        <v>74</v>
      </c>
      <c r="I693" s="1" t="s">
        <v>32</v>
      </c>
      <c r="J693" s="1" t="s">
        <v>29</v>
      </c>
      <c r="K693" s="1" t="s">
        <v>2666</v>
      </c>
      <c r="L693">
        <v>1</v>
      </c>
      <c r="M693">
        <v>1</v>
      </c>
      <c r="N693">
        <v>0</v>
      </c>
      <c r="O693">
        <v>3</v>
      </c>
      <c r="P693">
        <v>2</v>
      </c>
      <c r="Q693">
        <v>0</v>
      </c>
      <c r="R693">
        <v>0</v>
      </c>
      <c r="S693">
        <v>1</v>
      </c>
      <c r="T693">
        <v>1</v>
      </c>
      <c r="U693" s="1" t="s">
        <v>2667</v>
      </c>
      <c r="V693" s="1" t="s">
        <v>192</v>
      </c>
      <c r="W693" s="1">
        <f t="shared" si="10"/>
        <v>220.58</v>
      </c>
      <c r="X693" s="1" t="s">
        <v>323</v>
      </c>
      <c r="Y693">
        <v>1</v>
      </c>
      <c r="Z693">
        <v>1</v>
      </c>
      <c r="AA693">
        <v>63</v>
      </c>
    </row>
    <row r="694" spans="1:27" x14ac:dyDescent="0.3">
      <c r="A694" s="1" t="s">
        <v>2668</v>
      </c>
      <c r="B694">
        <v>693</v>
      </c>
      <c r="C694" s="1" t="s">
        <v>2669</v>
      </c>
      <c r="D694" s="1" t="s">
        <v>500</v>
      </c>
      <c r="E694" s="1" t="s">
        <v>29</v>
      </c>
      <c r="F694" s="1" t="s">
        <v>502</v>
      </c>
      <c r="G694" s="1" t="s">
        <v>382</v>
      </c>
      <c r="H694" s="1" t="s">
        <v>29</v>
      </c>
      <c r="I694" s="1" t="s">
        <v>32</v>
      </c>
      <c r="J694" s="1" t="s">
        <v>75</v>
      </c>
      <c r="K694" s="1" t="s">
        <v>1752</v>
      </c>
      <c r="L694">
        <v>2</v>
      </c>
      <c r="M694">
        <v>0</v>
      </c>
      <c r="N694">
        <v>0</v>
      </c>
      <c r="O694">
        <v>4</v>
      </c>
      <c r="P694">
        <v>2</v>
      </c>
      <c r="Q694">
        <v>0</v>
      </c>
      <c r="R694">
        <v>0</v>
      </c>
      <c r="S694">
        <v>1</v>
      </c>
      <c r="T694">
        <v>1</v>
      </c>
      <c r="U694" s="1" t="s">
        <v>1752</v>
      </c>
      <c r="V694" s="1" t="s">
        <v>104</v>
      </c>
      <c r="W694" s="1">
        <f t="shared" si="10"/>
        <v>76.84</v>
      </c>
      <c r="X694" s="1" t="s">
        <v>1753</v>
      </c>
      <c r="Y694">
        <v>1</v>
      </c>
      <c r="Z694">
        <v>1</v>
      </c>
      <c r="AA694">
        <v>64</v>
      </c>
    </row>
    <row r="695" spans="1:27" x14ac:dyDescent="0.3">
      <c r="A695" s="1" t="s">
        <v>2670</v>
      </c>
      <c r="B695">
        <v>694</v>
      </c>
      <c r="C695" s="1" t="s">
        <v>2671</v>
      </c>
      <c r="D695" s="1" t="s">
        <v>505</v>
      </c>
      <c r="E695" s="1" t="s">
        <v>39</v>
      </c>
      <c r="F695" s="1" t="s">
        <v>609</v>
      </c>
      <c r="G695" s="1" t="s">
        <v>388</v>
      </c>
      <c r="H695" s="1" t="s">
        <v>32</v>
      </c>
      <c r="I695" s="1" t="s">
        <v>32</v>
      </c>
      <c r="J695" s="1" t="s">
        <v>41</v>
      </c>
      <c r="K695" s="1" t="s">
        <v>414</v>
      </c>
      <c r="L695">
        <v>2</v>
      </c>
      <c r="M695">
        <v>0</v>
      </c>
      <c r="N695">
        <v>0</v>
      </c>
      <c r="O695">
        <v>5</v>
      </c>
      <c r="P695">
        <v>2</v>
      </c>
      <c r="Q695">
        <v>0</v>
      </c>
      <c r="R695">
        <v>0</v>
      </c>
      <c r="S695">
        <v>1</v>
      </c>
      <c r="T695">
        <v>1</v>
      </c>
      <c r="U695" s="1" t="s">
        <v>415</v>
      </c>
      <c r="V695" s="1" t="s">
        <v>111</v>
      </c>
      <c r="W695" s="1">
        <f t="shared" si="10"/>
        <v>80.229999999999905</v>
      </c>
      <c r="X695" s="1" t="s">
        <v>416</v>
      </c>
      <c r="Y695">
        <v>1</v>
      </c>
      <c r="Z695">
        <v>1</v>
      </c>
      <c r="AA695">
        <v>65</v>
      </c>
    </row>
    <row r="696" spans="1:27" x14ac:dyDescent="0.3">
      <c r="A696" s="1" t="s">
        <v>2672</v>
      </c>
      <c r="B696">
        <v>695</v>
      </c>
      <c r="C696" s="1" t="s">
        <v>2673</v>
      </c>
      <c r="D696" s="1" t="s">
        <v>395</v>
      </c>
      <c r="E696" s="1" t="s">
        <v>41</v>
      </c>
      <c r="F696" s="1" t="s">
        <v>395</v>
      </c>
      <c r="G696" s="1" t="s">
        <v>395</v>
      </c>
      <c r="H696" s="1" t="s">
        <v>41</v>
      </c>
      <c r="I696" s="1" t="s">
        <v>32</v>
      </c>
      <c r="J696" s="1" t="s">
        <v>32</v>
      </c>
      <c r="K696" s="1" t="s">
        <v>1825</v>
      </c>
      <c r="L696">
        <v>2</v>
      </c>
      <c r="M696">
        <v>0</v>
      </c>
      <c r="N696">
        <v>0</v>
      </c>
      <c r="O696">
        <v>6</v>
      </c>
      <c r="P696">
        <v>2</v>
      </c>
      <c r="Q696">
        <v>0</v>
      </c>
      <c r="R696">
        <v>0</v>
      </c>
      <c r="S696">
        <v>1</v>
      </c>
      <c r="T696">
        <v>1</v>
      </c>
      <c r="U696" s="1" t="s">
        <v>1826</v>
      </c>
      <c r="V696" s="1" t="s">
        <v>169</v>
      </c>
      <c r="W696" s="1">
        <f t="shared" si="10"/>
        <v>270.07</v>
      </c>
      <c r="X696" s="1" t="s">
        <v>1213</v>
      </c>
      <c r="Y696">
        <v>1</v>
      </c>
      <c r="Z696">
        <v>1</v>
      </c>
      <c r="AA696">
        <v>66</v>
      </c>
    </row>
    <row r="697" spans="1:27" x14ac:dyDescent="0.3">
      <c r="A697" s="1" t="s">
        <v>2674</v>
      </c>
      <c r="B697">
        <v>696</v>
      </c>
      <c r="C697" s="1" t="s">
        <v>2675</v>
      </c>
      <c r="D697" s="1" t="s">
        <v>403</v>
      </c>
      <c r="E697" s="1" t="s">
        <v>32</v>
      </c>
      <c r="F697" s="1" t="s">
        <v>403</v>
      </c>
      <c r="G697" s="1" t="s">
        <v>403</v>
      </c>
      <c r="H697" s="1" t="s">
        <v>48</v>
      </c>
      <c r="I697" s="1" t="s">
        <v>32</v>
      </c>
      <c r="J697" s="1" t="s">
        <v>74</v>
      </c>
      <c r="K697" s="1" t="s">
        <v>462</v>
      </c>
      <c r="L697">
        <v>3</v>
      </c>
      <c r="M697">
        <v>2</v>
      </c>
      <c r="N697">
        <v>1</v>
      </c>
      <c r="O697">
        <v>1</v>
      </c>
      <c r="P697">
        <v>6</v>
      </c>
      <c r="Q697">
        <v>0</v>
      </c>
      <c r="R697">
        <v>0</v>
      </c>
      <c r="S697">
        <v>1</v>
      </c>
      <c r="T697">
        <v>1</v>
      </c>
      <c r="U697" s="1" t="s">
        <v>462</v>
      </c>
      <c r="V697" s="1" t="s">
        <v>127</v>
      </c>
      <c r="W697" s="1">
        <f t="shared" si="10"/>
        <v>47.46</v>
      </c>
      <c r="X697" s="1" t="s">
        <v>354</v>
      </c>
      <c r="Y697">
        <v>1</v>
      </c>
      <c r="Z697">
        <v>1</v>
      </c>
      <c r="AA697">
        <v>67</v>
      </c>
    </row>
    <row r="698" spans="1:27" x14ac:dyDescent="0.3">
      <c r="A698" s="1" t="s">
        <v>2676</v>
      </c>
      <c r="B698">
        <v>697</v>
      </c>
      <c r="C698" s="1" t="s">
        <v>2677</v>
      </c>
      <c r="D698" s="1" t="s">
        <v>523</v>
      </c>
      <c r="E698" s="1" t="s">
        <v>29</v>
      </c>
      <c r="F698" s="1" t="s">
        <v>623</v>
      </c>
      <c r="G698" s="1" t="s">
        <v>408</v>
      </c>
      <c r="H698" s="1" t="s">
        <v>55</v>
      </c>
      <c r="I698" s="1" t="s">
        <v>32</v>
      </c>
      <c r="J698" s="1" t="s">
        <v>29</v>
      </c>
      <c r="K698" s="1" t="s">
        <v>359</v>
      </c>
      <c r="L698">
        <v>3</v>
      </c>
      <c r="M698">
        <v>0</v>
      </c>
      <c r="N698">
        <v>0</v>
      </c>
      <c r="O698">
        <v>2</v>
      </c>
      <c r="P698">
        <v>3</v>
      </c>
      <c r="Q698">
        <v>0</v>
      </c>
      <c r="R698">
        <v>0</v>
      </c>
      <c r="S698">
        <v>1</v>
      </c>
      <c r="T698">
        <v>1</v>
      </c>
      <c r="U698" s="1" t="s">
        <v>360</v>
      </c>
      <c r="V698" s="1" t="s">
        <v>288</v>
      </c>
      <c r="W698" s="1">
        <f t="shared" si="10"/>
        <v>301.70999999999998</v>
      </c>
      <c r="X698" s="1" t="s">
        <v>361</v>
      </c>
      <c r="Y698">
        <v>1</v>
      </c>
      <c r="Z698">
        <v>1</v>
      </c>
      <c r="AA698">
        <v>68</v>
      </c>
    </row>
    <row r="699" spans="1:27" x14ac:dyDescent="0.3">
      <c r="A699" s="1" t="s">
        <v>2678</v>
      </c>
      <c r="B699">
        <v>698</v>
      </c>
      <c r="C699" s="1" t="s">
        <v>2679</v>
      </c>
      <c r="D699" s="1" t="s">
        <v>529</v>
      </c>
      <c r="E699" s="1" t="s">
        <v>39</v>
      </c>
      <c r="F699" s="1" t="s">
        <v>629</v>
      </c>
      <c r="G699" s="1" t="s">
        <v>413</v>
      </c>
      <c r="H699" s="1" t="s">
        <v>63</v>
      </c>
      <c r="I699" s="1" t="s">
        <v>32</v>
      </c>
      <c r="J699" s="1" t="s">
        <v>75</v>
      </c>
      <c r="K699" s="1" t="s">
        <v>2680</v>
      </c>
      <c r="L699">
        <v>3</v>
      </c>
      <c r="M699">
        <v>0</v>
      </c>
      <c r="N699">
        <v>0</v>
      </c>
      <c r="O699">
        <v>3</v>
      </c>
      <c r="P699">
        <v>3</v>
      </c>
      <c r="Q699">
        <v>0</v>
      </c>
      <c r="R699">
        <v>0</v>
      </c>
      <c r="S699">
        <v>1</v>
      </c>
      <c r="T699">
        <v>1</v>
      </c>
      <c r="U699" s="1" t="s">
        <v>2681</v>
      </c>
      <c r="V699" s="1" t="s">
        <v>706</v>
      </c>
      <c r="W699" s="1">
        <f t="shared" si="10"/>
        <v>195.94</v>
      </c>
      <c r="X699" s="1" t="s">
        <v>439</v>
      </c>
      <c r="Y699">
        <v>1</v>
      </c>
      <c r="Z699">
        <v>1</v>
      </c>
      <c r="AA699">
        <v>69</v>
      </c>
    </row>
    <row r="700" spans="1:27" x14ac:dyDescent="0.3">
      <c r="A700" s="1" t="s">
        <v>2682</v>
      </c>
      <c r="B700">
        <v>699</v>
      </c>
      <c r="C700" s="1" t="s">
        <v>2683</v>
      </c>
      <c r="D700" s="1" t="s">
        <v>533</v>
      </c>
      <c r="E700" s="1" t="s">
        <v>41</v>
      </c>
      <c r="F700" s="1" t="s">
        <v>533</v>
      </c>
      <c r="G700" s="1" t="s">
        <v>420</v>
      </c>
      <c r="H700" s="1" t="s">
        <v>74</v>
      </c>
      <c r="I700" s="1" t="s">
        <v>32</v>
      </c>
      <c r="J700" s="1" t="s">
        <v>41</v>
      </c>
      <c r="K700" s="1" t="s">
        <v>2684</v>
      </c>
      <c r="L700">
        <v>3</v>
      </c>
      <c r="M700">
        <v>0</v>
      </c>
      <c r="N700">
        <v>0</v>
      </c>
      <c r="O700">
        <v>4</v>
      </c>
      <c r="P700">
        <v>3</v>
      </c>
      <c r="Q700">
        <v>0</v>
      </c>
      <c r="R700">
        <v>0</v>
      </c>
      <c r="S700">
        <v>1</v>
      </c>
      <c r="T700">
        <v>1</v>
      </c>
      <c r="U700" s="1" t="s">
        <v>2684</v>
      </c>
      <c r="V700" s="1" t="s">
        <v>232</v>
      </c>
      <c r="W700" s="1">
        <f t="shared" si="10"/>
        <v>56.95</v>
      </c>
      <c r="X700" s="1" t="s">
        <v>1734</v>
      </c>
      <c r="Y700">
        <v>1</v>
      </c>
      <c r="Z700">
        <v>1</v>
      </c>
      <c r="AA700">
        <v>70</v>
      </c>
    </row>
    <row r="701" spans="1:27" x14ac:dyDescent="0.3">
      <c r="A701" s="1" t="s">
        <v>2685</v>
      </c>
      <c r="B701">
        <v>700</v>
      </c>
      <c r="C701" s="1" t="s">
        <v>2686</v>
      </c>
      <c r="D701" s="1" t="s">
        <v>538</v>
      </c>
      <c r="E701" s="1" t="s">
        <v>32</v>
      </c>
      <c r="F701" s="1" t="s">
        <v>540</v>
      </c>
      <c r="G701" s="1" t="s">
        <v>427</v>
      </c>
      <c r="H701" s="1" t="s">
        <v>29</v>
      </c>
      <c r="I701" s="1" t="s">
        <v>32</v>
      </c>
      <c r="J701" s="1" t="s">
        <v>32</v>
      </c>
      <c r="K701" s="1" t="s">
        <v>642</v>
      </c>
      <c r="L701">
        <v>1</v>
      </c>
      <c r="M701">
        <v>1</v>
      </c>
      <c r="N701">
        <v>0</v>
      </c>
      <c r="O701">
        <v>5</v>
      </c>
      <c r="P701">
        <v>2</v>
      </c>
      <c r="Q701">
        <v>0</v>
      </c>
      <c r="R701">
        <v>0</v>
      </c>
      <c r="S701">
        <v>1</v>
      </c>
      <c r="T701">
        <v>1</v>
      </c>
      <c r="U701" s="1" t="s">
        <v>643</v>
      </c>
      <c r="V701" s="1" t="s">
        <v>161</v>
      </c>
      <c r="W701" s="1">
        <f t="shared" si="10"/>
        <v>66.67</v>
      </c>
      <c r="X701" s="1" t="s">
        <v>644</v>
      </c>
      <c r="Y701">
        <v>1</v>
      </c>
      <c r="Z701">
        <v>1</v>
      </c>
      <c r="AA701">
        <v>71</v>
      </c>
    </row>
    <row r="702" spans="1:27" x14ac:dyDescent="0.3">
      <c r="A702" s="1" t="s">
        <v>2687</v>
      </c>
      <c r="B702">
        <v>701</v>
      </c>
      <c r="C702" s="1" t="s">
        <v>2688</v>
      </c>
      <c r="D702" s="1" t="s">
        <v>546</v>
      </c>
      <c r="E702" s="1" t="s">
        <v>29</v>
      </c>
      <c r="F702" s="1" t="s">
        <v>647</v>
      </c>
      <c r="G702" s="1" t="s">
        <v>433</v>
      </c>
      <c r="H702" s="1" t="s">
        <v>32</v>
      </c>
      <c r="I702" s="1" t="s">
        <v>33</v>
      </c>
      <c r="J702" s="1" t="s">
        <v>33</v>
      </c>
      <c r="K702" s="1" t="s">
        <v>34</v>
      </c>
      <c r="L702">
        <v>1</v>
      </c>
      <c r="M702">
        <v>0</v>
      </c>
      <c r="N702">
        <v>0</v>
      </c>
      <c r="O702">
        <v>6</v>
      </c>
      <c r="P702">
        <v>1</v>
      </c>
      <c r="Q702">
        <v>1</v>
      </c>
      <c r="R702">
        <v>0</v>
      </c>
      <c r="S702">
        <v>0</v>
      </c>
      <c r="T702">
        <v>0</v>
      </c>
      <c r="U702" s="1" t="s">
        <v>310</v>
      </c>
      <c r="V702" s="1">
        <v>0</v>
      </c>
      <c r="W702" s="1">
        <f t="shared" si="10"/>
        <v>0</v>
      </c>
      <c r="X702" s="1" t="s">
        <v>310</v>
      </c>
      <c r="Y702">
        <v>1</v>
      </c>
      <c r="Z702">
        <v>0</v>
      </c>
      <c r="AA702">
        <v>72</v>
      </c>
    </row>
    <row r="703" spans="1:27" x14ac:dyDescent="0.3">
      <c r="A703" s="1" t="s">
        <v>2689</v>
      </c>
      <c r="B703">
        <v>702</v>
      </c>
      <c r="C703" s="1" t="s">
        <v>2690</v>
      </c>
      <c r="D703" s="1" t="s">
        <v>551</v>
      </c>
      <c r="E703" s="1" t="s">
        <v>39</v>
      </c>
      <c r="F703" s="1" t="s">
        <v>651</v>
      </c>
      <c r="G703" s="1" t="s">
        <v>438</v>
      </c>
      <c r="H703" s="1" t="s">
        <v>41</v>
      </c>
      <c r="I703" s="1" t="s">
        <v>33</v>
      </c>
      <c r="J703" s="1" t="s">
        <v>33</v>
      </c>
      <c r="K703" s="1" t="s">
        <v>34</v>
      </c>
      <c r="L703">
        <v>1</v>
      </c>
      <c r="M703">
        <v>2</v>
      </c>
      <c r="N703">
        <v>0</v>
      </c>
      <c r="O703">
        <v>1</v>
      </c>
      <c r="P703">
        <v>3</v>
      </c>
      <c r="Q703">
        <v>1</v>
      </c>
      <c r="R703">
        <v>0</v>
      </c>
      <c r="S703">
        <v>0</v>
      </c>
      <c r="T703">
        <v>0</v>
      </c>
      <c r="U703" s="1" t="s">
        <v>2215</v>
      </c>
      <c r="V703" s="1">
        <v>0</v>
      </c>
      <c r="W703" s="1">
        <f t="shared" si="10"/>
        <v>0</v>
      </c>
      <c r="X703" s="1" t="s">
        <v>2215</v>
      </c>
      <c r="Y703">
        <v>1</v>
      </c>
      <c r="Z703">
        <v>0</v>
      </c>
      <c r="AA703">
        <v>73</v>
      </c>
    </row>
    <row r="704" spans="1:27" x14ac:dyDescent="0.3">
      <c r="A704" s="1" t="s">
        <v>2691</v>
      </c>
      <c r="B704">
        <v>703</v>
      </c>
      <c r="C704" s="1" t="s">
        <v>2692</v>
      </c>
      <c r="D704" s="1" t="s">
        <v>554</v>
      </c>
      <c r="E704" s="1" t="s">
        <v>41</v>
      </c>
      <c r="F704" s="1" t="s">
        <v>657</v>
      </c>
      <c r="G704" s="1" t="s">
        <v>444</v>
      </c>
      <c r="H704" s="1" t="s">
        <v>48</v>
      </c>
      <c r="I704" s="1" t="s">
        <v>33</v>
      </c>
      <c r="J704" s="1" t="s">
        <v>33</v>
      </c>
      <c r="K704" s="1" t="s">
        <v>34</v>
      </c>
      <c r="L704">
        <v>2</v>
      </c>
      <c r="M704">
        <v>0</v>
      </c>
      <c r="N704">
        <v>0</v>
      </c>
      <c r="O704">
        <v>2</v>
      </c>
      <c r="P704">
        <v>2</v>
      </c>
      <c r="Q704">
        <v>1</v>
      </c>
      <c r="R704">
        <v>0</v>
      </c>
      <c r="S704">
        <v>0</v>
      </c>
      <c r="T704">
        <v>0</v>
      </c>
      <c r="U704" s="1" t="s">
        <v>319</v>
      </c>
      <c r="V704" s="1">
        <v>0</v>
      </c>
      <c r="W704" s="1">
        <f t="shared" si="10"/>
        <v>0</v>
      </c>
      <c r="X704" s="1" t="s">
        <v>319</v>
      </c>
      <c r="Y704">
        <v>1</v>
      </c>
      <c r="Z704">
        <v>0</v>
      </c>
      <c r="AA704">
        <v>74</v>
      </c>
    </row>
    <row r="705" spans="1:27" x14ac:dyDescent="0.3">
      <c r="A705" s="1" t="s">
        <v>2693</v>
      </c>
      <c r="B705">
        <v>704</v>
      </c>
      <c r="C705" s="1" t="s">
        <v>2694</v>
      </c>
      <c r="D705" s="1" t="s">
        <v>559</v>
      </c>
      <c r="E705" s="1" t="s">
        <v>32</v>
      </c>
      <c r="F705" s="1" t="s">
        <v>662</v>
      </c>
      <c r="G705" s="1" t="s">
        <v>448</v>
      </c>
      <c r="H705" s="1" t="s">
        <v>55</v>
      </c>
      <c r="I705" s="1" t="s">
        <v>56</v>
      </c>
      <c r="J705" s="1" t="s">
        <v>33</v>
      </c>
      <c r="K705" s="1" t="s">
        <v>34</v>
      </c>
      <c r="L705">
        <v>2</v>
      </c>
      <c r="M705">
        <v>1</v>
      </c>
      <c r="N705">
        <v>0</v>
      </c>
      <c r="O705">
        <v>3</v>
      </c>
      <c r="P705">
        <v>3</v>
      </c>
      <c r="Q705">
        <v>0</v>
      </c>
      <c r="R705">
        <v>1</v>
      </c>
      <c r="S705">
        <v>0</v>
      </c>
      <c r="T705">
        <v>0</v>
      </c>
      <c r="U705" s="1" t="s">
        <v>323</v>
      </c>
      <c r="V705" s="1">
        <v>0</v>
      </c>
      <c r="W705" s="1">
        <f t="shared" si="10"/>
        <v>0</v>
      </c>
      <c r="X705" s="1" t="s">
        <v>323</v>
      </c>
      <c r="Y705">
        <v>1</v>
      </c>
      <c r="Z705">
        <v>0</v>
      </c>
      <c r="AA705">
        <v>75</v>
      </c>
    </row>
    <row r="706" spans="1:27" x14ac:dyDescent="0.3">
      <c r="A706" s="1" t="s">
        <v>2695</v>
      </c>
      <c r="B706">
        <v>705</v>
      </c>
      <c r="C706" s="1" t="s">
        <v>2696</v>
      </c>
      <c r="D706" s="1" t="s">
        <v>564</v>
      </c>
      <c r="E706" s="1" t="s">
        <v>29</v>
      </c>
      <c r="F706" s="1" t="s">
        <v>666</v>
      </c>
      <c r="G706" s="1" t="s">
        <v>453</v>
      </c>
      <c r="H706" s="1" t="s">
        <v>63</v>
      </c>
      <c r="I706" s="1" t="s">
        <v>64</v>
      </c>
      <c r="J706" s="1" t="s">
        <v>29</v>
      </c>
      <c r="K706" s="1" t="s">
        <v>328</v>
      </c>
      <c r="L706">
        <v>2</v>
      </c>
      <c r="M706">
        <v>0</v>
      </c>
      <c r="N706">
        <v>0</v>
      </c>
      <c r="O706">
        <v>4</v>
      </c>
      <c r="P706">
        <v>2</v>
      </c>
      <c r="Q706">
        <v>0</v>
      </c>
      <c r="R706">
        <v>0</v>
      </c>
      <c r="S706">
        <v>0</v>
      </c>
      <c r="T706">
        <v>0</v>
      </c>
      <c r="U706" s="1" t="s">
        <v>329</v>
      </c>
      <c r="V706" s="1" t="s">
        <v>104</v>
      </c>
      <c r="W706" s="1">
        <f t="shared" ref="W706:W769" si="11">VALUE(SUBSTITUTE(TRIM(V706),".", ","))</f>
        <v>76.84</v>
      </c>
      <c r="X706" s="1" t="s">
        <v>330</v>
      </c>
      <c r="Y706">
        <v>1</v>
      </c>
      <c r="Z706">
        <v>0</v>
      </c>
      <c r="AA706">
        <v>76</v>
      </c>
    </row>
    <row r="707" spans="1:27" x14ac:dyDescent="0.3">
      <c r="A707" s="1" t="s">
        <v>2697</v>
      </c>
      <c r="B707">
        <v>706</v>
      </c>
      <c r="C707" s="1" t="s">
        <v>2698</v>
      </c>
      <c r="D707" s="1" t="s">
        <v>572</v>
      </c>
      <c r="E707" s="1" t="s">
        <v>39</v>
      </c>
      <c r="F707" s="1" t="s">
        <v>674</v>
      </c>
      <c r="G707" s="1" t="s">
        <v>460</v>
      </c>
      <c r="H707" s="1" t="s">
        <v>74</v>
      </c>
      <c r="I707" s="1" t="s">
        <v>64</v>
      </c>
      <c r="J707" s="1" t="s">
        <v>75</v>
      </c>
      <c r="K707" s="1" t="s">
        <v>2699</v>
      </c>
      <c r="L707">
        <v>3</v>
      </c>
      <c r="M707">
        <v>0</v>
      </c>
      <c r="N707">
        <v>0</v>
      </c>
      <c r="O707">
        <v>5</v>
      </c>
      <c r="P707">
        <v>3</v>
      </c>
      <c r="Q707">
        <v>0</v>
      </c>
      <c r="R707">
        <v>0</v>
      </c>
      <c r="S707">
        <v>0</v>
      </c>
      <c r="T707">
        <v>0</v>
      </c>
      <c r="U707" s="1" t="s">
        <v>2700</v>
      </c>
      <c r="V707" s="1" t="s">
        <v>1479</v>
      </c>
      <c r="W707" s="1">
        <f t="shared" si="11"/>
        <v>57.97</v>
      </c>
      <c r="X707" s="1" t="s">
        <v>416</v>
      </c>
      <c r="Y707">
        <v>1</v>
      </c>
      <c r="Z707">
        <v>0</v>
      </c>
      <c r="AA707">
        <v>77</v>
      </c>
    </row>
    <row r="708" spans="1:27" x14ac:dyDescent="0.3">
      <c r="A708" s="1" t="s">
        <v>2701</v>
      </c>
      <c r="B708">
        <v>707</v>
      </c>
      <c r="C708" s="1" t="s">
        <v>2702</v>
      </c>
      <c r="D708" s="1" t="s">
        <v>577</v>
      </c>
      <c r="E708" s="1" t="s">
        <v>41</v>
      </c>
      <c r="F708" s="1" t="s">
        <v>681</v>
      </c>
      <c r="G708" s="1" t="s">
        <v>467</v>
      </c>
      <c r="H708" s="1" t="s">
        <v>29</v>
      </c>
      <c r="I708" s="1" t="s">
        <v>32</v>
      </c>
      <c r="J708" s="1" t="s">
        <v>75</v>
      </c>
      <c r="K708" s="1" t="s">
        <v>421</v>
      </c>
      <c r="L708">
        <v>3</v>
      </c>
      <c r="M708">
        <v>0</v>
      </c>
      <c r="N708">
        <v>0</v>
      </c>
      <c r="O708">
        <v>6</v>
      </c>
      <c r="P708">
        <v>3</v>
      </c>
      <c r="Q708">
        <v>0</v>
      </c>
      <c r="R708">
        <v>0</v>
      </c>
      <c r="S708">
        <v>1</v>
      </c>
      <c r="T708">
        <v>1</v>
      </c>
      <c r="U708" s="1" t="s">
        <v>422</v>
      </c>
      <c r="V708" s="1" t="s">
        <v>169</v>
      </c>
      <c r="W708" s="1">
        <f t="shared" si="11"/>
        <v>270.07</v>
      </c>
      <c r="X708" s="1" t="s">
        <v>346</v>
      </c>
      <c r="Y708">
        <v>1</v>
      </c>
      <c r="Z708">
        <v>1</v>
      </c>
      <c r="AA708">
        <v>78</v>
      </c>
    </row>
    <row r="709" spans="1:27" x14ac:dyDescent="0.3">
      <c r="A709" s="1" t="s">
        <v>2703</v>
      </c>
      <c r="B709">
        <v>708</v>
      </c>
      <c r="C709" s="1" t="s">
        <v>2704</v>
      </c>
      <c r="D709" s="1" t="s">
        <v>581</v>
      </c>
      <c r="E709" s="1" t="s">
        <v>32</v>
      </c>
      <c r="F709" s="1" t="s">
        <v>688</v>
      </c>
      <c r="G709" s="1" t="s">
        <v>472</v>
      </c>
      <c r="H709" s="1" t="s">
        <v>32</v>
      </c>
      <c r="I709" s="1" t="s">
        <v>32</v>
      </c>
      <c r="J709" s="1" t="s">
        <v>41</v>
      </c>
      <c r="K709" s="1" t="s">
        <v>462</v>
      </c>
      <c r="L709">
        <v>3</v>
      </c>
      <c r="M709">
        <v>2</v>
      </c>
      <c r="N709">
        <v>1</v>
      </c>
      <c r="O709">
        <v>1</v>
      </c>
      <c r="P709">
        <v>6</v>
      </c>
      <c r="Q709">
        <v>0</v>
      </c>
      <c r="R709">
        <v>0</v>
      </c>
      <c r="S709">
        <v>1</v>
      </c>
      <c r="T709">
        <v>1</v>
      </c>
      <c r="U709" s="1" t="s">
        <v>462</v>
      </c>
      <c r="V709" s="1" t="s">
        <v>127</v>
      </c>
      <c r="W709" s="1">
        <f t="shared" si="11"/>
        <v>47.46</v>
      </c>
      <c r="X709" s="1" t="s">
        <v>354</v>
      </c>
      <c r="Y709">
        <v>1</v>
      </c>
      <c r="Z709">
        <v>1</v>
      </c>
      <c r="AA709">
        <v>79</v>
      </c>
    </row>
    <row r="710" spans="1:27" x14ac:dyDescent="0.3">
      <c r="A710" s="1" t="s">
        <v>2705</v>
      </c>
      <c r="B710">
        <v>709</v>
      </c>
      <c r="C710" s="1" t="s">
        <v>2706</v>
      </c>
      <c r="D710" s="1" t="s">
        <v>584</v>
      </c>
      <c r="E710" s="1" t="s">
        <v>29</v>
      </c>
      <c r="F710" s="1" t="s">
        <v>585</v>
      </c>
      <c r="G710" s="1" t="s">
        <v>480</v>
      </c>
      <c r="H710" s="1" t="s">
        <v>41</v>
      </c>
      <c r="I710" s="1" t="s">
        <v>32</v>
      </c>
      <c r="J710" s="1" t="s">
        <v>32</v>
      </c>
      <c r="K710" s="1" t="s">
        <v>359</v>
      </c>
      <c r="L710">
        <v>3</v>
      </c>
      <c r="M710">
        <v>0</v>
      </c>
      <c r="N710">
        <v>0</v>
      </c>
      <c r="O710">
        <v>2</v>
      </c>
      <c r="P710">
        <v>3</v>
      </c>
      <c r="Q710">
        <v>0</v>
      </c>
      <c r="R710">
        <v>0</v>
      </c>
      <c r="S710">
        <v>1</v>
      </c>
      <c r="T710">
        <v>1</v>
      </c>
      <c r="U710" s="1" t="s">
        <v>360</v>
      </c>
      <c r="V710" s="1" t="s">
        <v>288</v>
      </c>
      <c r="W710" s="1">
        <f t="shared" si="11"/>
        <v>301.70999999999998</v>
      </c>
      <c r="X710" s="1" t="s">
        <v>361</v>
      </c>
      <c r="Y710">
        <v>1</v>
      </c>
      <c r="Z710">
        <v>1</v>
      </c>
      <c r="AA710">
        <v>80</v>
      </c>
    </row>
    <row r="711" spans="1:27" x14ac:dyDescent="0.3">
      <c r="A711" s="1" t="s">
        <v>2707</v>
      </c>
      <c r="B711">
        <v>710</v>
      </c>
      <c r="C711" s="1" t="s">
        <v>2708</v>
      </c>
      <c r="D711" s="1" t="s">
        <v>591</v>
      </c>
      <c r="E711" s="1" t="s">
        <v>39</v>
      </c>
      <c r="F711" s="1" t="s">
        <v>702</v>
      </c>
      <c r="G711" s="1" t="s">
        <v>39</v>
      </c>
      <c r="H711" s="1" t="s">
        <v>48</v>
      </c>
      <c r="I711" s="1" t="s">
        <v>32</v>
      </c>
      <c r="J711" s="1" t="s">
        <v>74</v>
      </c>
      <c r="K711" s="1" t="s">
        <v>365</v>
      </c>
      <c r="L711">
        <v>1</v>
      </c>
      <c r="M711">
        <v>0</v>
      </c>
      <c r="N711">
        <v>0</v>
      </c>
      <c r="O711">
        <v>3</v>
      </c>
      <c r="P711">
        <v>1</v>
      </c>
      <c r="Q711">
        <v>0</v>
      </c>
      <c r="R711">
        <v>0</v>
      </c>
      <c r="S711">
        <v>1</v>
      </c>
      <c r="T711">
        <v>1</v>
      </c>
      <c r="U711" s="1" t="s">
        <v>366</v>
      </c>
      <c r="V711" s="1" t="s">
        <v>144</v>
      </c>
      <c r="W711" s="1">
        <f t="shared" si="11"/>
        <v>202.26999999999899</v>
      </c>
      <c r="X711" s="1" t="s">
        <v>367</v>
      </c>
      <c r="Y711">
        <v>1</v>
      </c>
      <c r="Z711">
        <v>1</v>
      </c>
      <c r="AA711">
        <v>81</v>
      </c>
    </row>
    <row r="712" spans="1:27" x14ac:dyDescent="0.3">
      <c r="A712" s="1" t="s">
        <v>2709</v>
      </c>
      <c r="B712">
        <v>711</v>
      </c>
      <c r="C712" s="1" t="s">
        <v>2710</v>
      </c>
      <c r="D712" s="1" t="s">
        <v>597</v>
      </c>
      <c r="E712" s="1" t="s">
        <v>41</v>
      </c>
      <c r="F712" s="1" t="s">
        <v>711</v>
      </c>
      <c r="G712" s="1" t="s">
        <v>492</v>
      </c>
      <c r="H712" s="1" t="s">
        <v>55</v>
      </c>
      <c r="I712" s="1" t="s">
        <v>32</v>
      </c>
      <c r="J712" s="1" t="s">
        <v>29</v>
      </c>
      <c r="K712" s="1" t="s">
        <v>637</v>
      </c>
      <c r="L712">
        <v>1</v>
      </c>
      <c r="M712">
        <v>0</v>
      </c>
      <c r="N712">
        <v>0</v>
      </c>
      <c r="O712">
        <v>4</v>
      </c>
      <c r="P712">
        <v>1</v>
      </c>
      <c r="Q712">
        <v>0</v>
      </c>
      <c r="R712">
        <v>0</v>
      </c>
      <c r="S712">
        <v>1</v>
      </c>
      <c r="T712">
        <v>1</v>
      </c>
      <c r="U712" s="1" t="s">
        <v>637</v>
      </c>
      <c r="V712" s="1" t="s">
        <v>152</v>
      </c>
      <c r="W712" s="1">
        <f t="shared" si="11"/>
        <v>63.28</v>
      </c>
      <c r="X712" s="1">
        <v>419</v>
      </c>
      <c r="Y712">
        <v>1</v>
      </c>
      <c r="Z712">
        <v>1</v>
      </c>
      <c r="AA712">
        <v>82</v>
      </c>
    </row>
    <row r="713" spans="1:27" x14ac:dyDescent="0.3">
      <c r="A713" s="1" t="s">
        <v>2711</v>
      </c>
      <c r="B713">
        <v>712</v>
      </c>
      <c r="C713" s="1" t="s">
        <v>2712</v>
      </c>
      <c r="D713" s="1" t="s">
        <v>600</v>
      </c>
      <c r="E713" s="1" t="s">
        <v>32</v>
      </c>
      <c r="F713" s="1" t="s">
        <v>717</v>
      </c>
      <c r="G713" s="1" t="s">
        <v>495</v>
      </c>
      <c r="H713" s="1" t="s">
        <v>63</v>
      </c>
      <c r="I713" s="1" t="s">
        <v>32</v>
      </c>
      <c r="J713" s="1" t="s">
        <v>75</v>
      </c>
      <c r="K713" s="1" t="s">
        <v>1183</v>
      </c>
      <c r="L713">
        <v>1</v>
      </c>
      <c r="M713">
        <v>1</v>
      </c>
      <c r="N713">
        <v>0</v>
      </c>
      <c r="O713">
        <v>5</v>
      </c>
      <c r="P713">
        <v>2</v>
      </c>
      <c r="Q713">
        <v>0</v>
      </c>
      <c r="R713">
        <v>0</v>
      </c>
      <c r="S713">
        <v>1</v>
      </c>
      <c r="T713">
        <v>1</v>
      </c>
      <c r="U713" s="1" t="s">
        <v>1184</v>
      </c>
      <c r="V713" s="1" t="s">
        <v>304</v>
      </c>
      <c r="W713" s="1">
        <f t="shared" si="11"/>
        <v>64.41</v>
      </c>
      <c r="X713" s="1" t="s">
        <v>378</v>
      </c>
      <c r="Y713">
        <v>1</v>
      </c>
      <c r="Z713">
        <v>1</v>
      </c>
      <c r="AA713">
        <v>83</v>
      </c>
    </row>
    <row r="714" spans="1:27" x14ac:dyDescent="0.3">
      <c r="A714" s="1" t="s">
        <v>2713</v>
      </c>
      <c r="B714">
        <v>713</v>
      </c>
      <c r="C714" s="1" t="s">
        <v>2714</v>
      </c>
      <c r="D714" s="1" t="s">
        <v>605</v>
      </c>
      <c r="E714" s="1" t="s">
        <v>29</v>
      </c>
      <c r="F714" s="1" t="s">
        <v>724</v>
      </c>
      <c r="G714" s="1" t="s">
        <v>502</v>
      </c>
      <c r="H714" s="1" t="s">
        <v>74</v>
      </c>
      <c r="I714" s="1" t="s">
        <v>32</v>
      </c>
      <c r="J714" s="1" t="s">
        <v>41</v>
      </c>
      <c r="K714" s="1" t="s">
        <v>1188</v>
      </c>
      <c r="L714">
        <v>2</v>
      </c>
      <c r="M714">
        <v>0</v>
      </c>
      <c r="N714">
        <v>0</v>
      </c>
      <c r="O714">
        <v>6</v>
      </c>
      <c r="P714">
        <v>2</v>
      </c>
      <c r="Q714">
        <v>0</v>
      </c>
      <c r="R714">
        <v>0</v>
      </c>
      <c r="S714">
        <v>1</v>
      </c>
      <c r="T714">
        <v>1</v>
      </c>
      <c r="U714" s="1" t="s">
        <v>1189</v>
      </c>
      <c r="V714" s="1" t="s">
        <v>1190</v>
      </c>
      <c r="W714" s="1">
        <f t="shared" si="11"/>
        <v>267.81</v>
      </c>
      <c r="X714" s="1" t="s">
        <v>310</v>
      </c>
      <c r="Y714">
        <v>1</v>
      </c>
      <c r="Z714">
        <v>1</v>
      </c>
      <c r="AA714">
        <v>84</v>
      </c>
    </row>
    <row r="715" spans="1:27" x14ac:dyDescent="0.3">
      <c r="A715" s="1" t="s">
        <v>2715</v>
      </c>
      <c r="B715">
        <v>714</v>
      </c>
      <c r="C715" s="1" t="s">
        <v>2716</v>
      </c>
      <c r="D715" s="1" t="s">
        <v>608</v>
      </c>
      <c r="E715" s="1" t="s">
        <v>39</v>
      </c>
      <c r="F715" s="1" t="s">
        <v>608</v>
      </c>
      <c r="G715" s="1" t="s">
        <v>506</v>
      </c>
      <c r="H715" s="1" t="s">
        <v>29</v>
      </c>
      <c r="I715" s="1" t="s">
        <v>32</v>
      </c>
      <c r="J715" s="1" t="s">
        <v>32</v>
      </c>
      <c r="K715" s="1" t="s">
        <v>462</v>
      </c>
      <c r="L715">
        <v>2</v>
      </c>
      <c r="M715">
        <v>2</v>
      </c>
      <c r="N715">
        <v>0</v>
      </c>
      <c r="O715">
        <v>1</v>
      </c>
      <c r="P715">
        <v>4</v>
      </c>
      <c r="Q715">
        <v>0</v>
      </c>
      <c r="R715">
        <v>0</v>
      </c>
      <c r="S715">
        <v>1</v>
      </c>
      <c r="T715">
        <v>1</v>
      </c>
      <c r="U715" s="1" t="s">
        <v>462</v>
      </c>
      <c r="V715" s="1" t="s">
        <v>177</v>
      </c>
      <c r="W715" s="1">
        <f t="shared" si="11"/>
        <v>61.02</v>
      </c>
      <c r="X715" s="1" t="s">
        <v>463</v>
      </c>
      <c r="Y715">
        <v>1</v>
      </c>
      <c r="Z715">
        <v>1</v>
      </c>
      <c r="AA715">
        <v>85</v>
      </c>
    </row>
    <row r="716" spans="1:27" x14ac:dyDescent="0.3">
      <c r="A716" s="1" t="s">
        <v>2717</v>
      </c>
      <c r="B716">
        <v>715</v>
      </c>
      <c r="C716" s="1" t="s">
        <v>2718</v>
      </c>
      <c r="D716" s="1" t="s">
        <v>613</v>
      </c>
      <c r="E716" s="1" t="s">
        <v>41</v>
      </c>
      <c r="F716" s="1" t="s">
        <v>735</v>
      </c>
      <c r="G716" s="1" t="s">
        <v>513</v>
      </c>
      <c r="H716" s="1" t="s">
        <v>32</v>
      </c>
      <c r="I716" s="1" t="s">
        <v>32</v>
      </c>
      <c r="J716" s="1" t="s">
        <v>74</v>
      </c>
      <c r="K716" s="1" t="s">
        <v>1285</v>
      </c>
      <c r="L716">
        <v>2</v>
      </c>
      <c r="M716">
        <v>0</v>
      </c>
      <c r="N716">
        <v>0</v>
      </c>
      <c r="O716">
        <v>2</v>
      </c>
      <c r="P716">
        <v>2</v>
      </c>
      <c r="Q716">
        <v>0</v>
      </c>
      <c r="R716">
        <v>0</v>
      </c>
      <c r="S716">
        <v>1</v>
      </c>
      <c r="T716">
        <v>1</v>
      </c>
      <c r="U716" s="1" t="s">
        <v>1286</v>
      </c>
      <c r="V716" s="1" t="s">
        <v>87</v>
      </c>
      <c r="W716" s="1">
        <f t="shared" si="11"/>
        <v>274.58999999999997</v>
      </c>
      <c r="X716" s="1" t="s">
        <v>1287</v>
      </c>
      <c r="Y716">
        <v>1</v>
      </c>
      <c r="Z716">
        <v>1</v>
      </c>
      <c r="AA716">
        <v>86</v>
      </c>
    </row>
    <row r="717" spans="1:27" x14ac:dyDescent="0.3">
      <c r="A717" s="1" t="s">
        <v>2719</v>
      </c>
      <c r="B717">
        <v>716</v>
      </c>
      <c r="C717" s="1" t="s">
        <v>2720</v>
      </c>
      <c r="D717" s="1" t="s">
        <v>619</v>
      </c>
      <c r="E717" s="1" t="s">
        <v>32</v>
      </c>
      <c r="F717" s="1" t="s">
        <v>741</v>
      </c>
      <c r="G717" s="1" t="s">
        <v>48</v>
      </c>
      <c r="H717" s="1" t="s">
        <v>41</v>
      </c>
      <c r="I717" s="1" t="s">
        <v>32</v>
      </c>
      <c r="J717" s="1" t="s">
        <v>29</v>
      </c>
      <c r="K717" s="1" t="s">
        <v>404</v>
      </c>
      <c r="L717">
        <v>3</v>
      </c>
      <c r="M717">
        <v>1</v>
      </c>
      <c r="N717">
        <v>0</v>
      </c>
      <c r="O717">
        <v>3</v>
      </c>
      <c r="P717">
        <v>4</v>
      </c>
      <c r="Q717">
        <v>0</v>
      </c>
      <c r="R717">
        <v>0</v>
      </c>
      <c r="S717">
        <v>1</v>
      </c>
      <c r="T717">
        <v>1</v>
      </c>
      <c r="U717" s="1" t="s">
        <v>405</v>
      </c>
      <c r="V717" s="1" t="s">
        <v>96</v>
      </c>
      <c r="W717" s="1">
        <f t="shared" si="11"/>
        <v>229.39</v>
      </c>
      <c r="X717" s="1" t="s">
        <v>323</v>
      </c>
      <c r="Y717">
        <v>1</v>
      </c>
      <c r="Z717">
        <v>1</v>
      </c>
      <c r="AA717">
        <v>87</v>
      </c>
    </row>
    <row r="718" spans="1:27" x14ac:dyDescent="0.3">
      <c r="A718" s="1" t="s">
        <v>2721</v>
      </c>
      <c r="B718">
        <v>717</v>
      </c>
      <c r="C718" s="1" t="s">
        <v>2722</v>
      </c>
      <c r="D718" s="1" t="s">
        <v>623</v>
      </c>
      <c r="E718" s="1" t="s">
        <v>29</v>
      </c>
      <c r="F718" s="1" t="s">
        <v>55</v>
      </c>
      <c r="G718" s="1" t="s">
        <v>524</v>
      </c>
      <c r="H718" s="1" t="s">
        <v>48</v>
      </c>
      <c r="I718" s="1" t="s">
        <v>32</v>
      </c>
      <c r="J718" s="1" t="s">
        <v>75</v>
      </c>
      <c r="K718" s="1" t="s">
        <v>409</v>
      </c>
      <c r="L718">
        <v>3</v>
      </c>
      <c r="M718">
        <v>0</v>
      </c>
      <c r="N718">
        <v>0</v>
      </c>
      <c r="O718">
        <v>4</v>
      </c>
      <c r="P718">
        <v>3</v>
      </c>
      <c r="Q718">
        <v>0</v>
      </c>
      <c r="R718">
        <v>0</v>
      </c>
      <c r="S718">
        <v>1</v>
      </c>
      <c r="T718">
        <v>1</v>
      </c>
      <c r="U718" s="1" t="s">
        <v>409</v>
      </c>
      <c r="V718" s="1" t="s">
        <v>104</v>
      </c>
      <c r="W718" s="1">
        <f t="shared" si="11"/>
        <v>76.84</v>
      </c>
      <c r="X718" s="1" t="s">
        <v>410</v>
      </c>
      <c r="Y718">
        <v>1</v>
      </c>
      <c r="Z718">
        <v>1</v>
      </c>
      <c r="AA718">
        <v>88</v>
      </c>
    </row>
    <row r="719" spans="1:27" x14ac:dyDescent="0.3">
      <c r="A719" s="1" t="s">
        <v>2723</v>
      </c>
      <c r="B719">
        <v>718</v>
      </c>
      <c r="C719" s="1" t="s">
        <v>2724</v>
      </c>
      <c r="D719" s="1" t="s">
        <v>629</v>
      </c>
      <c r="E719" s="1" t="s">
        <v>39</v>
      </c>
      <c r="F719" s="1" t="s">
        <v>753</v>
      </c>
      <c r="G719" s="1" t="s">
        <v>529</v>
      </c>
      <c r="H719" s="1" t="s">
        <v>55</v>
      </c>
      <c r="I719" s="1" t="s">
        <v>32</v>
      </c>
      <c r="J719" s="1" t="s">
        <v>41</v>
      </c>
      <c r="K719" s="1" t="s">
        <v>414</v>
      </c>
      <c r="L719">
        <v>3</v>
      </c>
      <c r="M719">
        <v>0</v>
      </c>
      <c r="N719">
        <v>0</v>
      </c>
      <c r="O719">
        <v>5</v>
      </c>
      <c r="P719">
        <v>3</v>
      </c>
      <c r="Q719">
        <v>0</v>
      </c>
      <c r="R719">
        <v>0</v>
      </c>
      <c r="S719">
        <v>1</v>
      </c>
      <c r="T719">
        <v>1</v>
      </c>
      <c r="U719" s="1" t="s">
        <v>415</v>
      </c>
      <c r="V719" s="1" t="s">
        <v>111</v>
      </c>
      <c r="W719" s="1">
        <f t="shared" si="11"/>
        <v>80.229999999999905</v>
      </c>
      <c r="X719" s="1" t="s">
        <v>416</v>
      </c>
      <c r="Y719">
        <v>1</v>
      </c>
      <c r="Z719">
        <v>1</v>
      </c>
      <c r="AA719">
        <v>89</v>
      </c>
    </row>
    <row r="720" spans="1:27" x14ac:dyDescent="0.3">
      <c r="A720" s="1" t="s">
        <v>2725</v>
      </c>
      <c r="B720">
        <v>719</v>
      </c>
      <c r="C720" s="1" t="s">
        <v>2726</v>
      </c>
      <c r="D720" s="1" t="s">
        <v>635</v>
      </c>
      <c r="E720" s="1" t="s">
        <v>41</v>
      </c>
      <c r="F720" s="1" t="s">
        <v>636</v>
      </c>
      <c r="G720" s="1" t="s">
        <v>535</v>
      </c>
      <c r="H720" s="1" t="s">
        <v>63</v>
      </c>
      <c r="I720" s="1" t="s">
        <v>32</v>
      </c>
      <c r="J720" s="1" t="s">
        <v>32</v>
      </c>
      <c r="K720" s="1" t="s">
        <v>343</v>
      </c>
      <c r="L720">
        <v>3</v>
      </c>
      <c r="M720">
        <v>0</v>
      </c>
      <c r="N720">
        <v>0</v>
      </c>
      <c r="O720">
        <v>6</v>
      </c>
      <c r="P720">
        <v>3</v>
      </c>
      <c r="Q720">
        <v>0</v>
      </c>
      <c r="R720">
        <v>0</v>
      </c>
      <c r="S720">
        <v>1</v>
      </c>
      <c r="T720">
        <v>1</v>
      </c>
      <c r="U720" s="1" t="s">
        <v>344</v>
      </c>
      <c r="V720" s="1" t="s">
        <v>345</v>
      </c>
      <c r="W720" s="1">
        <f t="shared" si="11"/>
        <v>265.32</v>
      </c>
      <c r="X720" s="1" t="s">
        <v>346</v>
      </c>
      <c r="Y720">
        <v>1</v>
      </c>
      <c r="Z720">
        <v>1</v>
      </c>
      <c r="AA720">
        <v>90</v>
      </c>
    </row>
    <row r="721" spans="1:27" x14ac:dyDescent="0.3">
      <c r="A721" s="1" t="s">
        <v>2727</v>
      </c>
      <c r="B721">
        <v>720</v>
      </c>
      <c r="C721" s="1" t="s">
        <v>2728</v>
      </c>
      <c r="D721" s="1" t="s">
        <v>640</v>
      </c>
      <c r="E721" s="1" t="s">
        <v>32</v>
      </c>
      <c r="F721" s="1" t="s">
        <v>763</v>
      </c>
      <c r="G721" s="1" t="s">
        <v>540</v>
      </c>
      <c r="H721" s="1" t="s">
        <v>74</v>
      </c>
      <c r="I721" s="1" t="s">
        <v>32</v>
      </c>
      <c r="J721" s="1" t="s">
        <v>74</v>
      </c>
      <c r="K721" s="1" t="s">
        <v>2729</v>
      </c>
      <c r="L721">
        <v>1</v>
      </c>
      <c r="M721">
        <v>2</v>
      </c>
      <c r="N721">
        <v>1</v>
      </c>
      <c r="O721">
        <v>1</v>
      </c>
      <c r="P721">
        <v>4</v>
      </c>
      <c r="Q721">
        <v>0</v>
      </c>
      <c r="R721">
        <v>0</v>
      </c>
      <c r="S721">
        <v>1</v>
      </c>
      <c r="T721">
        <v>1</v>
      </c>
      <c r="U721" s="1" t="s">
        <v>2729</v>
      </c>
      <c r="V721" s="1" t="s">
        <v>353</v>
      </c>
      <c r="W721" s="1">
        <f t="shared" si="11"/>
        <v>42.71</v>
      </c>
      <c r="X721" s="1" t="s">
        <v>429</v>
      </c>
      <c r="Y721">
        <v>1</v>
      </c>
      <c r="Z721">
        <v>1</v>
      </c>
      <c r="AA721">
        <v>1</v>
      </c>
    </row>
    <row r="722" spans="1:27" x14ac:dyDescent="0.3">
      <c r="A722" s="1" t="s">
        <v>2730</v>
      </c>
      <c r="B722">
        <v>721</v>
      </c>
      <c r="C722" s="1" t="s">
        <v>2731</v>
      </c>
      <c r="D722" s="1" t="s">
        <v>647</v>
      </c>
      <c r="E722" s="1" t="s">
        <v>29</v>
      </c>
      <c r="F722" s="1" t="s">
        <v>769</v>
      </c>
      <c r="G722" s="1" t="s">
        <v>547</v>
      </c>
      <c r="H722" s="1" t="s">
        <v>29</v>
      </c>
      <c r="I722" s="1" t="s">
        <v>33</v>
      </c>
      <c r="J722" s="1" t="s">
        <v>33</v>
      </c>
      <c r="K722" s="1" t="s">
        <v>34</v>
      </c>
      <c r="L722">
        <v>1</v>
      </c>
      <c r="M722">
        <v>0</v>
      </c>
      <c r="N722">
        <v>0</v>
      </c>
      <c r="O722">
        <v>2</v>
      </c>
      <c r="P722">
        <v>1</v>
      </c>
      <c r="Q722">
        <v>1</v>
      </c>
      <c r="R722">
        <v>0</v>
      </c>
      <c r="S722">
        <v>0</v>
      </c>
      <c r="T722">
        <v>0</v>
      </c>
      <c r="U722" s="1" t="s">
        <v>434</v>
      </c>
      <c r="V722" s="1">
        <v>0</v>
      </c>
      <c r="W722" s="1">
        <f t="shared" si="11"/>
        <v>0</v>
      </c>
      <c r="X722" s="1" t="s">
        <v>434</v>
      </c>
      <c r="Y722">
        <v>1</v>
      </c>
      <c r="Z722">
        <v>0</v>
      </c>
      <c r="AA722">
        <v>2</v>
      </c>
    </row>
    <row r="723" spans="1:27" x14ac:dyDescent="0.3">
      <c r="A723" s="1" t="s">
        <v>2732</v>
      </c>
      <c r="B723">
        <v>722</v>
      </c>
      <c r="C723" s="1" t="s">
        <v>2733</v>
      </c>
      <c r="D723" s="1" t="s">
        <v>651</v>
      </c>
      <c r="E723" s="1" t="s">
        <v>39</v>
      </c>
      <c r="F723" s="1" t="s">
        <v>774</v>
      </c>
      <c r="G723" s="1" t="s">
        <v>551</v>
      </c>
      <c r="H723" s="1" t="s">
        <v>32</v>
      </c>
      <c r="I723" s="1" t="s">
        <v>33</v>
      </c>
      <c r="J723" s="1" t="s">
        <v>33</v>
      </c>
      <c r="K723" s="1" t="s">
        <v>34</v>
      </c>
      <c r="L723">
        <v>1</v>
      </c>
      <c r="M723">
        <v>0</v>
      </c>
      <c r="N723">
        <v>0</v>
      </c>
      <c r="O723">
        <v>3</v>
      </c>
      <c r="P723">
        <v>1</v>
      </c>
      <c r="Q723">
        <v>1</v>
      </c>
      <c r="R723">
        <v>0</v>
      </c>
      <c r="S723">
        <v>0</v>
      </c>
      <c r="T723">
        <v>0</v>
      </c>
      <c r="U723" s="1" t="s">
        <v>439</v>
      </c>
      <c r="V723" s="1">
        <v>0</v>
      </c>
      <c r="W723" s="1">
        <f t="shared" si="11"/>
        <v>0</v>
      </c>
      <c r="X723" s="1" t="s">
        <v>439</v>
      </c>
      <c r="Y723">
        <v>1</v>
      </c>
      <c r="Z723">
        <v>0</v>
      </c>
      <c r="AA723">
        <v>3</v>
      </c>
    </row>
    <row r="724" spans="1:27" x14ac:dyDescent="0.3">
      <c r="A724" s="1" t="s">
        <v>2734</v>
      </c>
      <c r="B724">
        <v>723</v>
      </c>
      <c r="C724" s="1" t="s">
        <v>2735</v>
      </c>
      <c r="D724" s="1" t="s">
        <v>656</v>
      </c>
      <c r="E724" s="1" t="s">
        <v>41</v>
      </c>
      <c r="F724" s="1" t="s">
        <v>779</v>
      </c>
      <c r="G724" s="1" t="s">
        <v>555</v>
      </c>
      <c r="H724" s="1" t="s">
        <v>41</v>
      </c>
      <c r="I724" s="1" t="s">
        <v>33</v>
      </c>
      <c r="J724" s="1" t="s">
        <v>33</v>
      </c>
      <c r="K724" s="1" t="s">
        <v>34</v>
      </c>
      <c r="L724">
        <v>2</v>
      </c>
      <c r="M724">
        <v>0</v>
      </c>
      <c r="N724">
        <v>0</v>
      </c>
      <c r="O724">
        <v>4</v>
      </c>
      <c r="P724">
        <v>2</v>
      </c>
      <c r="Q724">
        <v>1</v>
      </c>
      <c r="R724">
        <v>0</v>
      </c>
      <c r="S724">
        <v>0</v>
      </c>
      <c r="T724">
        <v>0</v>
      </c>
      <c r="U724" s="1" t="s">
        <v>1734</v>
      </c>
      <c r="V724" s="1">
        <v>0</v>
      </c>
      <c r="W724" s="1">
        <f t="shared" si="11"/>
        <v>0</v>
      </c>
      <c r="X724" s="1" t="s">
        <v>1734</v>
      </c>
      <c r="Y724">
        <v>1</v>
      </c>
      <c r="Z724">
        <v>0</v>
      </c>
      <c r="AA724">
        <v>4</v>
      </c>
    </row>
    <row r="725" spans="1:27" x14ac:dyDescent="0.3">
      <c r="A725" s="1" t="s">
        <v>2736</v>
      </c>
      <c r="B725">
        <v>724</v>
      </c>
      <c r="C725" s="1" t="s">
        <v>2737</v>
      </c>
      <c r="D725" s="1" t="s">
        <v>662</v>
      </c>
      <c r="E725" s="1" t="s">
        <v>32</v>
      </c>
      <c r="F725" s="1" t="s">
        <v>784</v>
      </c>
      <c r="G725" s="1" t="s">
        <v>560</v>
      </c>
      <c r="H725" s="1" t="s">
        <v>48</v>
      </c>
      <c r="I725" s="1" t="s">
        <v>56</v>
      </c>
      <c r="J725" s="1" t="s">
        <v>33</v>
      </c>
      <c r="K725" s="1" t="s">
        <v>34</v>
      </c>
      <c r="L725">
        <v>2</v>
      </c>
      <c r="M725">
        <v>1</v>
      </c>
      <c r="N725">
        <v>0</v>
      </c>
      <c r="O725">
        <v>5</v>
      </c>
      <c r="P725">
        <v>3</v>
      </c>
      <c r="Q725">
        <v>0</v>
      </c>
      <c r="R725">
        <v>1</v>
      </c>
      <c r="S725">
        <v>0</v>
      </c>
      <c r="T725">
        <v>0</v>
      </c>
      <c r="U725" s="1" t="s">
        <v>378</v>
      </c>
      <c r="V725" s="1">
        <v>0</v>
      </c>
      <c r="W725" s="1">
        <f t="shared" si="11"/>
        <v>0</v>
      </c>
      <c r="X725" s="1" t="s">
        <v>378</v>
      </c>
      <c r="Y725">
        <v>1</v>
      </c>
      <c r="Z725">
        <v>0</v>
      </c>
      <c r="AA725">
        <v>5</v>
      </c>
    </row>
    <row r="726" spans="1:27" x14ac:dyDescent="0.3">
      <c r="A726" s="1" t="s">
        <v>2738</v>
      </c>
      <c r="B726">
        <v>725</v>
      </c>
      <c r="C726" s="1" t="s">
        <v>2739</v>
      </c>
      <c r="D726" s="1" t="s">
        <v>566</v>
      </c>
      <c r="E726" s="1" t="s">
        <v>29</v>
      </c>
      <c r="F726" s="1" t="s">
        <v>566</v>
      </c>
      <c r="G726" s="1" t="s">
        <v>566</v>
      </c>
      <c r="H726" s="1" t="s">
        <v>55</v>
      </c>
      <c r="I726" s="1" t="s">
        <v>64</v>
      </c>
      <c r="J726" s="1" t="s">
        <v>75</v>
      </c>
      <c r="K726" s="1" t="s">
        <v>454</v>
      </c>
      <c r="L726">
        <v>2</v>
      </c>
      <c r="M726">
        <v>0</v>
      </c>
      <c r="N726">
        <v>0</v>
      </c>
      <c r="O726">
        <v>6</v>
      </c>
      <c r="P726">
        <v>2</v>
      </c>
      <c r="Q726">
        <v>0</v>
      </c>
      <c r="R726">
        <v>0</v>
      </c>
      <c r="S726">
        <v>0</v>
      </c>
      <c r="T726">
        <v>0</v>
      </c>
      <c r="U726" s="1" t="s">
        <v>455</v>
      </c>
      <c r="V726" s="1" t="s">
        <v>67</v>
      </c>
      <c r="W726" s="1">
        <f t="shared" si="11"/>
        <v>22.6</v>
      </c>
      <c r="X726" s="1" t="s">
        <v>456</v>
      </c>
      <c r="Y726">
        <v>1</v>
      </c>
      <c r="Z726">
        <v>0</v>
      </c>
      <c r="AA726">
        <v>6</v>
      </c>
    </row>
    <row r="727" spans="1:27" x14ac:dyDescent="0.3">
      <c r="A727" s="1" t="s">
        <v>2740</v>
      </c>
      <c r="B727">
        <v>726</v>
      </c>
      <c r="C727" s="1" t="s">
        <v>2741</v>
      </c>
      <c r="D727" s="1" t="s">
        <v>673</v>
      </c>
      <c r="E727" s="1" t="s">
        <v>39</v>
      </c>
      <c r="F727" s="1" t="s">
        <v>796</v>
      </c>
      <c r="G727" s="1" t="s">
        <v>573</v>
      </c>
      <c r="H727" s="1" t="s">
        <v>63</v>
      </c>
      <c r="I727" s="1" t="s">
        <v>64</v>
      </c>
      <c r="J727" s="1" t="s">
        <v>41</v>
      </c>
      <c r="K727" s="1" t="s">
        <v>461</v>
      </c>
      <c r="L727">
        <v>3</v>
      </c>
      <c r="M727">
        <v>2</v>
      </c>
      <c r="N727">
        <v>0</v>
      </c>
      <c r="O727">
        <v>1</v>
      </c>
      <c r="P727">
        <v>5</v>
      </c>
      <c r="Q727">
        <v>0</v>
      </c>
      <c r="R727">
        <v>0</v>
      </c>
      <c r="S727">
        <v>0</v>
      </c>
      <c r="T727">
        <v>0</v>
      </c>
      <c r="U727" s="1" t="s">
        <v>462</v>
      </c>
      <c r="V727" s="1" t="s">
        <v>177</v>
      </c>
      <c r="W727" s="1">
        <f t="shared" si="11"/>
        <v>61.02</v>
      </c>
      <c r="X727" s="1" t="s">
        <v>463</v>
      </c>
      <c r="Y727">
        <v>1</v>
      </c>
      <c r="Z727">
        <v>0</v>
      </c>
      <c r="AA727">
        <v>7</v>
      </c>
    </row>
    <row r="728" spans="1:27" x14ac:dyDescent="0.3">
      <c r="A728" s="1" t="s">
        <v>2742</v>
      </c>
      <c r="B728">
        <v>727</v>
      </c>
      <c r="C728" s="1" t="s">
        <v>2743</v>
      </c>
      <c r="D728" s="1" t="s">
        <v>680</v>
      </c>
      <c r="E728" s="1" t="s">
        <v>41</v>
      </c>
      <c r="F728" s="1" t="s">
        <v>802</v>
      </c>
      <c r="G728" s="1" t="s">
        <v>578</v>
      </c>
      <c r="H728" s="1" t="s">
        <v>74</v>
      </c>
      <c r="I728" s="1" t="s">
        <v>32</v>
      </c>
      <c r="J728" s="1" t="s">
        <v>41</v>
      </c>
      <c r="K728" s="1" t="s">
        <v>1813</v>
      </c>
      <c r="L728">
        <v>3</v>
      </c>
      <c r="M728">
        <v>0</v>
      </c>
      <c r="N728">
        <v>0</v>
      </c>
      <c r="O728">
        <v>2</v>
      </c>
      <c r="P728">
        <v>3</v>
      </c>
      <c r="Q728">
        <v>0</v>
      </c>
      <c r="R728">
        <v>0</v>
      </c>
      <c r="S728">
        <v>1</v>
      </c>
      <c r="T728">
        <v>1</v>
      </c>
      <c r="U728" s="1" t="s">
        <v>1814</v>
      </c>
      <c r="V728" s="1" t="s">
        <v>398</v>
      </c>
      <c r="W728" s="1">
        <f t="shared" si="11"/>
        <v>255.95</v>
      </c>
      <c r="X728" s="1" t="s">
        <v>468</v>
      </c>
      <c r="Y728">
        <v>1</v>
      </c>
      <c r="Z728">
        <v>1</v>
      </c>
      <c r="AA728">
        <v>8</v>
      </c>
    </row>
    <row r="729" spans="1:27" x14ac:dyDescent="0.3">
      <c r="A729" s="1" t="s">
        <v>2744</v>
      </c>
      <c r="B729">
        <v>728</v>
      </c>
      <c r="C729" s="1" t="s">
        <v>2745</v>
      </c>
      <c r="D729" s="1" t="s">
        <v>688</v>
      </c>
      <c r="E729" s="1" t="s">
        <v>32</v>
      </c>
      <c r="F729" s="1" t="s">
        <v>808</v>
      </c>
      <c r="G729" s="1" t="s">
        <v>581</v>
      </c>
      <c r="H729" s="1" t="s">
        <v>29</v>
      </c>
      <c r="I729" s="1" t="s">
        <v>32</v>
      </c>
      <c r="J729" s="1" t="s">
        <v>32</v>
      </c>
      <c r="K729" s="1" t="s">
        <v>404</v>
      </c>
      <c r="L729">
        <v>3</v>
      </c>
      <c r="M729">
        <v>1</v>
      </c>
      <c r="N729">
        <v>0</v>
      </c>
      <c r="O729">
        <v>3</v>
      </c>
      <c r="P729">
        <v>4</v>
      </c>
      <c r="Q729">
        <v>0</v>
      </c>
      <c r="R729">
        <v>0</v>
      </c>
      <c r="S729">
        <v>1</v>
      </c>
      <c r="T729">
        <v>1</v>
      </c>
      <c r="U729" s="1" t="s">
        <v>405</v>
      </c>
      <c r="V729" s="1" t="s">
        <v>96</v>
      </c>
      <c r="W729" s="1">
        <f t="shared" si="11"/>
        <v>229.39</v>
      </c>
      <c r="X729" s="1" t="s">
        <v>323</v>
      </c>
      <c r="Y729">
        <v>1</v>
      </c>
      <c r="Z729">
        <v>1</v>
      </c>
      <c r="AA729">
        <v>9</v>
      </c>
    </row>
    <row r="730" spans="1:27" x14ac:dyDescent="0.3">
      <c r="A730" s="1" t="s">
        <v>2746</v>
      </c>
      <c r="B730">
        <v>729</v>
      </c>
      <c r="C730" s="1" t="s">
        <v>2747</v>
      </c>
      <c r="D730" s="1" t="s">
        <v>694</v>
      </c>
      <c r="E730" s="1" t="s">
        <v>29</v>
      </c>
      <c r="F730" s="1" t="s">
        <v>694</v>
      </c>
      <c r="G730" s="1" t="s">
        <v>585</v>
      </c>
      <c r="H730" s="1" t="s">
        <v>32</v>
      </c>
      <c r="I730" s="1" t="s">
        <v>32</v>
      </c>
      <c r="J730" s="1" t="s">
        <v>74</v>
      </c>
      <c r="K730" s="1" t="s">
        <v>1752</v>
      </c>
      <c r="L730">
        <v>3</v>
      </c>
      <c r="M730">
        <v>0</v>
      </c>
      <c r="N730">
        <v>0</v>
      </c>
      <c r="O730">
        <v>4</v>
      </c>
      <c r="P730">
        <v>3</v>
      </c>
      <c r="Q730">
        <v>0</v>
      </c>
      <c r="R730">
        <v>0</v>
      </c>
      <c r="S730">
        <v>1</v>
      </c>
      <c r="T730">
        <v>1</v>
      </c>
      <c r="U730" s="1" t="s">
        <v>1752</v>
      </c>
      <c r="V730" s="1" t="s">
        <v>104</v>
      </c>
      <c r="W730" s="1">
        <f t="shared" si="11"/>
        <v>76.84</v>
      </c>
      <c r="X730" s="1" t="s">
        <v>1753</v>
      </c>
      <c r="Y730">
        <v>1</v>
      </c>
      <c r="Z730">
        <v>1</v>
      </c>
      <c r="AA730">
        <v>10</v>
      </c>
    </row>
    <row r="731" spans="1:27" x14ac:dyDescent="0.3">
      <c r="A731" s="1" t="s">
        <v>2748</v>
      </c>
      <c r="B731">
        <v>730</v>
      </c>
      <c r="C731" s="1" t="s">
        <v>2749</v>
      </c>
      <c r="D731" s="1" t="s">
        <v>701</v>
      </c>
      <c r="E731" s="1" t="s">
        <v>39</v>
      </c>
      <c r="F731" s="1" t="s">
        <v>819</v>
      </c>
      <c r="G731" s="1" t="s">
        <v>591</v>
      </c>
      <c r="H731" s="1" t="s">
        <v>41</v>
      </c>
      <c r="I731" s="1" t="s">
        <v>32</v>
      </c>
      <c r="J731" s="1" t="s">
        <v>29</v>
      </c>
      <c r="K731" s="1" t="s">
        <v>485</v>
      </c>
      <c r="L731">
        <v>1</v>
      </c>
      <c r="M731">
        <v>0</v>
      </c>
      <c r="N731">
        <v>0</v>
      </c>
      <c r="O731">
        <v>5</v>
      </c>
      <c r="P731">
        <v>1</v>
      </c>
      <c r="Q731">
        <v>0</v>
      </c>
      <c r="R731">
        <v>0</v>
      </c>
      <c r="S731">
        <v>1</v>
      </c>
      <c r="T731">
        <v>1</v>
      </c>
      <c r="U731" s="1" t="s">
        <v>486</v>
      </c>
      <c r="V731" s="1" t="s">
        <v>111</v>
      </c>
      <c r="W731" s="1">
        <f t="shared" si="11"/>
        <v>80.229999999999905</v>
      </c>
      <c r="X731" s="1" t="s">
        <v>487</v>
      </c>
      <c r="Y731">
        <v>1</v>
      </c>
      <c r="Z731">
        <v>1</v>
      </c>
      <c r="AA731">
        <v>11</v>
      </c>
    </row>
    <row r="732" spans="1:27" x14ac:dyDescent="0.3">
      <c r="A732" s="1" t="s">
        <v>2750</v>
      </c>
      <c r="B732">
        <v>731</v>
      </c>
      <c r="C732" s="1" t="s">
        <v>2751</v>
      </c>
      <c r="D732" s="1" t="s">
        <v>710</v>
      </c>
      <c r="E732" s="1" t="s">
        <v>41</v>
      </c>
      <c r="F732" s="1" t="s">
        <v>827</v>
      </c>
      <c r="G732" s="1" t="s">
        <v>597</v>
      </c>
      <c r="H732" s="1" t="s">
        <v>48</v>
      </c>
      <c r="I732" s="1" t="s">
        <v>32</v>
      </c>
      <c r="J732" s="1" t="s">
        <v>75</v>
      </c>
      <c r="K732" s="1" t="s">
        <v>421</v>
      </c>
      <c r="L732">
        <v>1</v>
      </c>
      <c r="M732">
        <v>0</v>
      </c>
      <c r="N732">
        <v>0</v>
      </c>
      <c r="O732">
        <v>6</v>
      </c>
      <c r="P732">
        <v>1</v>
      </c>
      <c r="Q732">
        <v>0</v>
      </c>
      <c r="R732">
        <v>0</v>
      </c>
      <c r="S732">
        <v>1</v>
      </c>
      <c r="T732">
        <v>1</v>
      </c>
      <c r="U732" s="1" t="s">
        <v>422</v>
      </c>
      <c r="V732" s="1" t="s">
        <v>169</v>
      </c>
      <c r="W732" s="1">
        <f t="shared" si="11"/>
        <v>270.07</v>
      </c>
      <c r="X732" s="1" t="s">
        <v>346</v>
      </c>
      <c r="Y732">
        <v>1</v>
      </c>
      <c r="Z732">
        <v>1</v>
      </c>
      <c r="AA732">
        <v>12</v>
      </c>
    </row>
    <row r="733" spans="1:27" x14ac:dyDescent="0.3">
      <c r="A733" s="1" t="s">
        <v>2752</v>
      </c>
      <c r="B733">
        <v>732</v>
      </c>
      <c r="C733" s="1" t="s">
        <v>2753</v>
      </c>
      <c r="D733" s="1" t="s">
        <v>602</v>
      </c>
      <c r="E733" s="1" t="s">
        <v>32</v>
      </c>
      <c r="F733" s="1" t="s">
        <v>602</v>
      </c>
      <c r="G733" s="1" t="s">
        <v>602</v>
      </c>
      <c r="H733" s="1" t="s">
        <v>55</v>
      </c>
      <c r="I733" s="1" t="s">
        <v>32</v>
      </c>
      <c r="J733" s="1" t="s">
        <v>41</v>
      </c>
      <c r="K733" s="1" t="s">
        <v>462</v>
      </c>
      <c r="L733">
        <v>1</v>
      </c>
      <c r="M733">
        <v>2</v>
      </c>
      <c r="N733">
        <v>1</v>
      </c>
      <c r="O733">
        <v>1</v>
      </c>
      <c r="P733">
        <v>4</v>
      </c>
      <c r="Q733">
        <v>0</v>
      </c>
      <c r="R733">
        <v>0</v>
      </c>
      <c r="S733">
        <v>1</v>
      </c>
      <c r="T733">
        <v>1</v>
      </c>
      <c r="U733" s="1" t="s">
        <v>462</v>
      </c>
      <c r="V733" s="1" t="s">
        <v>127</v>
      </c>
      <c r="W733" s="1">
        <f t="shared" si="11"/>
        <v>47.46</v>
      </c>
      <c r="X733" s="1" t="s">
        <v>354</v>
      </c>
      <c r="Y733">
        <v>1</v>
      </c>
      <c r="Z733">
        <v>1</v>
      </c>
      <c r="AA733">
        <v>13</v>
      </c>
    </row>
    <row r="734" spans="1:27" x14ac:dyDescent="0.3">
      <c r="A734" s="1" t="s">
        <v>2754</v>
      </c>
      <c r="B734">
        <v>733</v>
      </c>
      <c r="C734" s="1" t="s">
        <v>2755</v>
      </c>
      <c r="D734" s="1" t="s">
        <v>724</v>
      </c>
      <c r="E734" s="1" t="s">
        <v>29</v>
      </c>
      <c r="F734" s="1" t="s">
        <v>839</v>
      </c>
      <c r="G734" s="1" t="s">
        <v>605</v>
      </c>
      <c r="H734" s="1" t="s">
        <v>63</v>
      </c>
      <c r="I734" s="1" t="s">
        <v>32</v>
      </c>
      <c r="J734" s="1" t="s">
        <v>32</v>
      </c>
      <c r="K734" s="1" t="s">
        <v>1257</v>
      </c>
      <c r="L734">
        <v>2</v>
      </c>
      <c r="M734">
        <v>0</v>
      </c>
      <c r="N734">
        <v>0</v>
      </c>
      <c r="O734">
        <v>2</v>
      </c>
      <c r="P734">
        <v>2</v>
      </c>
      <c r="Q734">
        <v>0</v>
      </c>
      <c r="R734">
        <v>0</v>
      </c>
      <c r="S734">
        <v>1</v>
      </c>
      <c r="T734">
        <v>1</v>
      </c>
      <c r="U734" s="1" t="s">
        <v>1258</v>
      </c>
      <c r="V734" s="1" t="s">
        <v>1259</v>
      </c>
      <c r="W734" s="1">
        <f t="shared" si="11"/>
        <v>292.22000000000003</v>
      </c>
      <c r="X734" s="1" t="s">
        <v>626</v>
      </c>
      <c r="Y734">
        <v>1</v>
      </c>
      <c r="Z734">
        <v>1</v>
      </c>
      <c r="AA734">
        <v>14</v>
      </c>
    </row>
    <row r="735" spans="1:27" x14ac:dyDescent="0.3">
      <c r="A735" s="1" t="s">
        <v>2756</v>
      </c>
      <c r="B735">
        <v>734</v>
      </c>
      <c r="C735" s="1" t="s">
        <v>2757</v>
      </c>
      <c r="D735" s="1" t="s">
        <v>610</v>
      </c>
      <c r="E735" s="1" t="s">
        <v>39</v>
      </c>
      <c r="F735" s="1" t="s">
        <v>610</v>
      </c>
      <c r="G735" s="1" t="s">
        <v>610</v>
      </c>
      <c r="H735" s="1" t="s">
        <v>74</v>
      </c>
      <c r="I735" s="1" t="s">
        <v>32</v>
      </c>
      <c r="J735" s="1" t="s">
        <v>74</v>
      </c>
      <c r="K735" s="1" t="s">
        <v>1836</v>
      </c>
      <c r="L735">
        <v>2</v>
      </c>
      <c r="M735">
        <v>0</v>
      </c>
      <c r="N735">
        <v>0</v>
      </c>
      <c r="O735">
        <v>3</v>
      </c>
      <c r="P735">
        <v>2</v>
      </c>
      <c r="Q735">
        <v>0</v>
      </c>
      <c r="R735">
        <v>0</v>
      </c>
      <c r="S735">
        <v>1</v>
      </c>
      <c r="T735">
        <v>1</v>
      </c>
      <c r="U735" s="1" t="s">
        <v>1837</v>
      </c>
      <c r="V735" s="1" t="s">
        <v>1266</v>
      </c>
      <c r="W735" s="1">
        <f t="shared" si="11"/>
        <v>192.78</v>
      </c>
      <c r="X735" s="1" t="s">
        <v>510</v>
      </c>
      <c r="Y735">
        <v>1</v>
      </c>
      <c r="Z735">
        <v>1</v>
      </c>
      <c r="AA735">
        <v>15</v>
      </c>
    </row>
    <row r="736" spans="1:27" x14ac:dyDescent="0.3">
      <c r="A736" s="1" t="s">
        <v>2758</v>
      </c>
      <c r="B736">
        <v>735</v>
      </c>
      <c r="C736" s="1" t="s">
        <v>2759</v>
      </c>
      <c r="D736" s="1" t="s">
        <v>735</v>
      </c>
      <c r="E736" s="1" t="s">
        <v>41</v>
      </c>
      <c r="F736" s="1" t="s">
        <v>850</v>
      </c>
      <c r="G736" s="1" t="s">
        <v>613</v>
      </c>
      <c r="H736" s="1" t="s">
        <v>29</v>
      </c>
      <c r="I736" s="1" t="s">
        <v>32</v>
      </c>
      <c r="J736" s="1" t="s">
        <v>29</v>
      </c>
      <c r="K736" s="1" t="s">
        <v>514</v>
      </c>
      <c r="L736">
        <v>2</v>
      </c>
      <c r="M736">
        <v>0</v>
      </c>
      <c r="N736">
        <v>0</v>
      </c>
      <c r="O736">
        <v>4</v>
      </c>
      <c r="P736">
        <v>2</v>
      </c>
      <c r="Q736">
        <v>0</v>
      </c>
      <c r="R736">
        <v>0</v>
      </c>
      <c r="S736">
        <v>1</v>
      </c>
      <c r="T736">
        <v>1</v>
      </c>
      <c r="U736" s="1" t="s">
        <v>514</v>
      </c>
      <c r="V736" s="1" t="s">
        <v>152</v>
      </c>
      <c r="W736" s="1">
        <f t="shared" si="11"/>
        <v>63.28</v>
      </c>
      <c r="X736" s="1" t="s">
        <v>515</v>
      </c>
      <c r="Y736">
        <v>1</v>
      </c>
      <c r="Z736">
        <v>1</v>
      </c>
      <c r="AA736">
        <v>16</v>
      </c>
    </row>
    <row r="737" spans="1:27" x14ac:dyDescent="0.3">
      <c r="A737" s="1" t="s">
        <v>2760</v>
      </c>
      <c r="B737">
        <v>736</v>
      </c>
      <c r="C737" s="1" t="s">
        <v>2761</v>
      </c>
      <c r="D737" s="1" t="s">
        <v>741</v>
      </c>
      <c r="E737" s="1" t="s">
        <v>32</v>
      </c>
      <c r="F737" s="1" t="s">
        <v>857</v>
      </c>
      <c r="G737" s="1" t="s">
        <v>620</v>
      </c>
      <c r="H737" s="1" t="s">
        <v>32</v>
      </c>
      <c r="I737" s="1" t="s">
        <v>32</v>
      </c>
      <c r="J737" s="1" t="s">
        <v>75</v>
      </c>
      <c r="K737" s="1" t="s">
        <v>376</v>
      </c>
      <c r="L737">
        <v>3</v>
      </c>
      <c r="M737">
        <v>1</v>
      </c>
      <c r="N737">
        <v>0</v>
      </c>
      <c r="O737">
        <v>5</v>
      </c>
      <c r="P737">
        <v>4</v>
      </c>
      <c r="Q737">
        <v>0</v>
      </c>
      <c r="R737">
        <v>0</v>
      </c>
      <c r="S737">
        <v>1</v>
      </c>
      <c r="T737">
        <v>1</v>
      </c>
      <c r="U737" s="1" t="s">
        <v>377</v>
      </c>
      <c r="V737" s="1" t="s">
        <v>161</v>
      </c>
      <c r="W737" s="1">
        <f t="shared" si="11"/>
        <v>66.67</v>
      </c>
      <c r="X737" s="1" t="s">
        <v>378</v>
      </c>
      <c r="Y737">
        <v>1</v>
      </c>
      <c r="Z737">
        <v>1</v>
      </c>
      <c r="AA737">
        <v>17</v>
      </c>
    </row>
    <row r="738" spans="1:27" x14ac:dyDescent="0.3">
      <c r="A738" s="1" t="s">
        <v>2762</v>
      </c>
      <c r="B738">
        <v>737</v>
      </c>
      <c r="C738" s="1" t="s">
        <v>2763</v>
      </c>
      <c r="D738" s="1" t="s">
        <v>747</v>
      </c>
      <c r="E738" s="1" t="s">
        <v>29</v>
      </c>
      <c r="F738" s="1" t="s">
        <v>861</v>
      </c>
      <c r="G738" s="1" t="s">
        <v>55</v>
      </c>
      <c r="H738" s="1" t="s">
        <v>41</v>
      </c>
      <c r="I738" s="1" t="s">
        <v>32</v>
      </c>
      <c r="J738" s="1" t="s">
        <v>41</v>
      </c>
      <c r="K738" s="1" t="s">
        <v>525</v>
      </c>
      <c r="L738">
        <v>3</v>
      </c>
      <c r="M738">
        <v>0</v>
      </c>
      <c r="N738">
        <v>0</v>
      </c>
      <c r="O738">
        <v>6</v>
      </c>
      <c r="P738">
        <v>3</v>
      </c>
      <c r="Q738">
        <v>0</v>
      </c>
      <c r="R738">
        <v>0</v>
      </c>
      <c r="S738">
        <v>1</v>
      </c>
      <c r="T738">
        <v>1</v>
      </c>
      <c r="U738" s="1" t="s">
        <v>526</v>
      </c>
      <c r="V738" s="1" t="s">
        <v>169</v>
      </c>
      <c r="W738" s="1">
        <f t="shared" si="11"/>
        <v>270.07</v>
      </c>
      <c r="X738" s="1" t="s">
        <v>310</v>
      </c>
      <c r="Y738">
        <v>1</v>
      </c>
      <c r="Z738">
        <v>1</v>
      </c>
      <c r="AA738">
        <v>18</v>
      </c>
    </row>
    <row r="739" spans="1:27" x14ac:dyDescent="0.3">
      <c r="A739" s="1" t="s">
        <v>2764</v>
      </c>
      <c r="B739">
        <v>738</v>
      </c>
      <c r="C739" s="1" t="s">
        <v>2765</v>
      </c>
      <c r="D739" s="1" t="s">
        <v>752</v>
      </c>
      <c r="E739" s="1" t="s">
        <v>39</v>
      </c>
      <c r="F739" s="1" t="s">
        <v>867</v>
      </c>
      <c r="G739" s="1" t="s">
        <v>630</v>
      </c>
      <c r="H739" s="1" t="s">
        <v>48</v>
      </c>
      <c r="I739" s="1" t="s">
        <v>32</v>
      </c>
      <c r="J739" s="1" t="s">
        <v>32</v>
      </c>
      <c r="K739" s="1" t="s">
        <v>389</v>
      </c>
      <c r="L739">
        <v>3</v>
      </c>
      <c r="M739">
        <v>2</v>
      </c>
      <c r="N739">
        <v>0</v>
      </c>
      <c r="O739">
        <v>1</v>
      </c>
      <c r="P739">
        <v>5</v>
      </c>
      <c r="Q739">
        <v>0</v>
      </c>
      <c r="R739">
        <v>0</v>
      </c>
      <c r="S739">
        <v>1</v>
      </c>
      <c r="T739">
        <v>1</v>
      </c>
      <c r="U739" s="1" t="s">
        <v>389</v>
      </c>
      <c r="V739" s="1" t="s">
        <v>177</v>
      </c>
      <c r="W739" s="1">
        <f t="shared" si="11"/>
        <v>61.02</v>
      </c>
      <c r="X739" s="1" t="s">
        <v>390</v>
      </c>
      <c r="Y739">
        <v>1</v>
      </c>
      <c r="Z739">
        <v>1</v>
      </c>
      <c r="AA739">
        <v>19</v>
      </c>
    </row>
    <row r="740" spans="1:27" x14ac:dyDescent="0.3">
      <c r="A740" s="1" t="s">
        <v>2766</v>
      </c>
      <c r="B740">
        <v>739</v>
      </c>
      <c r="C740" s="1" t="s">
        <v>2767</v>
      </c>
      <c r="D740" s="1" t="s">
        <v>760</v>
      </c>
      <c r="E740" s="1" t="s">
        <v>41</v>
      </c>
      <c r="F740" s="1" t="s">
        <v>872</v>
      </c>
      <c r="G740" s="1" t="s">
        <v>636</v>
      </c>
      <c r="H740" s="1" t="s">
        <v>55</v>
      </c>
      <c r="I740" s="1" t="s">
        <v>32</v>
      </c>
      <c r="J740" s="1" t="s">
        <v>74</v>
      </c>
      <c r="K740" s="1" t="s">
        <v>359</v>
      </c>
      <c r="L740">
        <v>3</v>
      </c>
      <c r="M740">
        <v>0</v>
      </c>
      <c r="N740">
        <v>0</v>
      </c>
      <c r="O740">
        <v>2</v>
      </c>
      <c r="P740">
        <v>3</v>
      </c>
      <c r="Q740">
        <v>0</v>
      </c>
      <c r="R740">
        <v>0</v>
      </c>
      <c r="S740">
        <v>1</v>
      </c>
      <c r="T740">
        <v>1</v>
      </c>
      <c r="U740" s="1" t="s">
        <v>360</v>
      </c>
      <c r="V740" s="1" t="s">
        <v>87</v>
      </c>
      <c r="W740" s="1">
        <f t="shared" si="11"/>
        <v>274.58999999999997</v>
      </c>
      <c r="X740" s="1" t="s">
        <v>468</v>
      </c>
      <c r="Y740">
        <v>1</v>
      </c>
      <c r="Z740">
        <v>1</v>
      </c>
      <c r="AA740">
        <v>20</v>
      </c>
    </row>
    <row r="741" spans="1:27" x14ac:dyDescent="0.3">
      <c r="A741" s="1" t="s">
        <v>2768</v>
      </c>
      <c r="B741">
        <v>740</v>
      </c>
      <c r="C741" s="1" t="s">
        <v>2769</v>
      </c>
      <c r="D741" s="1" t="s">
        <v>763</v>
      </c>
      <c r="E741" s="1" t="s">
        <v>32</v>
      </c>
      <c r="F741" s="1" t="s">
        <v>879</v>
      </c>
      <c r="G741" s="1" t="s">
        <v>641</v>
      </c>
      <c r="H741" s="1" t="s">
        <v>63</v>
      </c>
      <c r="I741" s="1" t="s">
        <v>32</v>
      </c>
      <c r="J741" s="1" t="s">
        <v>29</v>
      </c>
      <c r="K741" s="1" t="s">
        <v>2770</v>
      </c>
      <c r="L741">
        <v>1</v>
      </c>
      <c r="M741">
        <v>1</v>
      </c>
      <c r="N741">
        <v>0</v>
      </c>
      <c r="O741">
        <v>3</v>
      </c>
      <c r="P741">
        <v>2</v>
      </c>
      <c r="Q741">
        <v>0</v>
      </c>
      <c r="R741">
        <v>0</v>
      </c>
      <c r="S741">
        <v>1</v>
      </c>
      <c r="T741">
        <v>1</v>
      </c>
      <c r="U741" s="1" t="s">
        <v>2771</v>
      </c>
      <c r="V741" s="1" t="s">
        <v>475</v>
      </c>
      <c r="W741" s="1">
        <f t="shared" si="11"/>
        <v>221.71</v>
      </c>
      <c r="X741" s="1" t="s">
        <v>543</v>
      </c>
      <c r="Y741">
        <v>1</v>
      </c>
      <c r="Z741">
        <v>1</v>
      </c>
      <c r="AA741">
        <v>21</v>
      </c>
    </row>
    <row r="742" spans="1:27" x14ac:dyDescent="0.3">
      <c r="A742" s="1" t="s">
        <v>2772</v>
      </c>
      <c r="B742">
        <v>741</v>
      </c>
      <c r="C742" s="1" t="s">
        <v>2773</v>
      </c>
      <c r="D742" s="1" t="s">
        <v>768</v>
      </c>
      <c r="E742" s="1" t="s">
        <v>29</v>
      </c>
      <c r="F742" s="1" t="s">
        <v>768</v>
      </c>
      <c r="G742" s="1" t="s">
        <v>647</v>
      </c>
      <c r="H742" s="1" t="s">
        <v>74</v>
      </c>
      <c r="I742" s="1" t="s">
        <v>33</v>
      </c>
      <c r="J742" s="1" t="s">
        <v>33</v>
      </c>
      <c r="K742" s="1" t="s">
        <v>34</v>
      </c>
      <c r="L742">
        <v>1</v>
      </c>
      <c r="M742">
        <v>0</v>
      </c>
      <c r="N742">
        <v>0</v>
      </c>
      <c r="O742">
        <v>4</v>
      </c>
      <c r="P742">
        <v>1</v>
      </c>
      <c r="Q742">
        <v>1</v>
      </c>
      <c r="R742">
        <v>0</v>
      </c>
      <c r="S742">
        <v>0</v>
      </c>
      <c r="T742">
        <v>0</v>
      </c>
      <c r="U742" s="1" t="s">
        <v>816</v>
      </c>
      <c r="V742" s="1">
        <v>0</v>
      </c>
      <c r="W742" s="1">
        <f t="shared" si="11"/>
        <v>0</v>
      </c>
      <c r="X742" s="1" t="s">
        <v>816</v>
      </c>
      <c r="Y742">
        <v>1</v>
      </c>
      <c r="Z742">
        <v>0</v>
      </c>
      <c r="AA742">
        <v>22</v>
      </c>
    </row>
    <row r="743" spans="1:27" x14ac:dyDescent="0.3">
      <c r="A743" s="1" t="s">
        <v>2774</v>
      </c>
      <c r="B743">
        <v>742</v>
      </c>
      <c r="C743" s="1" t="s">
        <v>2775</v>
      </c>
      <c r="D743" s="1" t="s">
        <v>773</v>
      </c>
      <c r="E743" s="1" t="s">
        <v>39</v>
      </c>
      <c r="F743" s="1" t="s">
        <v>891</v>
      </c>
      <c r="G743" s="1" t="s">
        <v>652</v>
      </c>
      <c r="H743" s="1" t="s">
        <v>29</v>
      </c>
      <c r="I743" s="1" t="s">
        <v>33</v>
      </c>
      <c r="J743" s="1" t="s">
        <v>33</v>
      </c>
      <c r="K743" s="1" t="s">
        <v>34</v>
      </c>
      <c r="L743">
        <v>1</v>
      </c>
      <c r="M743">
        <v>0</v>
      </c>
      <c r="N743">
        <v>0</v>
      </c>
      <c r="O743">
        <v>5</v>
      </c>
      <c r="P743">
        <v>1</v>
      </c>
      <c r="Q743">
        <v>1</v>
      </c>
      <c r="R743">
        <v>0</v>
      </c>
      <c r="S743">
        <v>0</v>
      </c>
      <c r="T743">
        <v>0</v>
      </c>
      <c r="U743" s="1" t="s">
        <v>677</v>
      </c>
      <c r="V743" s="1">
        <v>0</v>
      </c>
      <c r="W743" s="1">
        <f t="shared" si="11"/>
        <v>0</v>
      </c>
      <c r="X743" s="1" t="s">
        <v>677</v>
      </c>
      <c r="Y743">
        <v>1</v>
      </c>
      <c r="Z743">
        <v>0</v>
      </c>
      <c r="AA743">
        <v>23</v>
      </c>
    </row>
    <row r="744" spans="1:27" x14ac:dyDescent="0.3">
      <c r="A744" s="1" t="s">
        <v>2776</v>
      </c>
      <c r="B744">
        <v>743</v>
      </c>
      <c r="C744" s="1" t="s">
        <v>2777</v>
      </c>
      <c r="D744" s="1" t="s">
        <v>779</v>
      </c>
      <c r="E744" s="1" t="s">
        <v>41</v>
      </c>
      <c r="F744" s="1" t="s">
        <v>894</v>
      </c>
      <c r="G744" s="1" t="s">
        <v>658</v>
      </c>
      <c r="H744" s="1" t="s">
        <v>32</v>
      </c>
      <c r="I744" s="1" t="s">
        <v>33</v>
      </c>
      <c r="J744" s="1" t="s">
        <v>33</v>
      </c>
      <c r="K744" s="1" t="s">
        <v>34</v>
      </c>
      <c r="L744">
        <v>2</v>
      </c>
      <c r="M744">
        <v>0</v>
      </c>
      <c r="N744">
        <v>0</v>
      </c>
      <c r="O744">
        <v>6</v>
      </c>
      <c r="P744">
        <v>2</v>
      </c>
      <c r="Q744">
        <v>1</v>
      </c>
      <c r="R744">
        <v>0</v>
      </c>
      <c r="S744">
        <v>0</v>
      </c>
      <c r="T744">
        <v>0</v>
      </c>
      <c r="U744" s="1" t="s">
        <v>1383</v>
      </c>
      <c r="V744" s="1">
        <v>0</v>
      </c>
      <c r="W744" s="1">
        <f t="shared" si="11"/>
        <v>0</v>
      </c>
      <c r="X744" s="1" t="s">
        <v>1383</v>
      </c>
      <c r="Y744">
        <v>1</v>
      </c>
      <c r="Z744">
        <v>0</v>
      </c>
      <c r="AA744">
        <v>24</v>
      </c>
    </row>
    <row r="745" spans="1:27" x14ac:dyDescent="0.3">
      <c r="A745" s="1" t="s">
        <v>2778</v>
      </c>
      <c r="B745">
        <v>744</v>
      </c>
      <c r="C745" s="1" t="s">
        <v>2779</v>
      </c>
      <c r="D745" s="1" t="s">
        <v>783</v>
      </c>
      <c r="E745" s="1" t="s">
        <v>32</v>
      </c>
      <c r="F745" s="1" t="s">
        <v>899</v>
      </c>
      <c r="G745" s="1" t="s">
        <v>56</v>
      </c>
      <c r="H745" s="1" t="s">
        <v>41</v>
      </c>
      <c r="I745" s="1" t="s">
        <v>56</v>
      </c>
      <c r="J745" s="1" t="s">
        <v>33</v>
      </c>
      <c r="K745" s="1" t="s">
        <v>34</v>
      </c>
      <c r="L745">
        <v>2</v>
      </c>
      <c r="M745">
        <v>2</v>
      </c>
      <c r="N745">
        <v>1</v>
      </c>
      <c r="O745">
        <v>1</v>
      </c>
      <c r="P745">
        <v>5</v>
      </c>
      <c r="Q745">
        <v>0</v>
      </c>
      <c r="R745">
        <v>1</v>
      </c>
      <c r="S745">
        <v>0</v>
      </c>
      <c r="T745">
        <v>0</v>
      </c>
      <c r="U745" s="1" t="s">
        <v>835</v>
      </c>
      <c r="V745" s="1">
        <v>0</v>
      </c>
      <c r="W745" s="1">
        <f t="shared" si="11"/>
        <v>0</v>
      </c>
      <c r="X745" s="1" t="s">
        <v>835</v>
      </c>
      <c r="Y745">
        <v>1</v>
      </c>
      <c r="Z745">
        <v>0</v>
      </c>
      <c r="AA745">
        <v>25</v>
      </c>
    </row>
    <row r="746" spans="1:27" x14ac:dyDescent="0.3">
      <c r="A746" s="1" t="s">
        <v>2780</v>
      </c>
      <c r="B746">
        <v>745</v>
      </c>
      <c r="C746" s="1" t="s">
        <v>2781</v>
      </c>
      <c r="D746" s="1" t="s">
        <v>667</v>
      </c>
      <c r="E746" s="1" t="s">
        <v>29</v>
      </c>
      <c r="F746" s="1" t="s">
        <v>667</v>
      </c>
      <c r="G746" s="1" t="s">
        <v>667</v>
      </c>
      <c r="H746" s="1" t="s">
        <v>48</v>
      </c>
      <c r="I746" s="1" t="s">
        <v>64</v>
      </c>
      <c r="J746" s="1" t="s">
        <v>41</v>
      </c>
      <c r="K746" s="1" t="s">
        <v>1976</v>
      </c>
      <c r="L746">
        <v>2</v>
      </c>
      <c r="M746">
        <v>0</v>
      </c>
      <c r="N746">
        <v>0</v>
      </c>
      <c r="O746">
        <v>2</v>
      </c>
      <c r="P746">
        <v>2</v>
      </c>
      <c r="Q746">
        <v>0</v>
      </c>
      <c r="R746">
        <v>0</v>
      </c>
      <c r="S746">
        <v>0</v>
      </c>
      <c r="T746">
        <v>0</v>
      </c>
      <c r="U746" s="1" t="s">
        <v>1977</v>
      </c>
      <c r="V746" s="1" t="s">
        <v>219</v>
      </c>
      <c r="W746" s="1">
        <f t="shared" si="11"/>
        <v>206.79</v>
      </c>
      <c r="X746" s="1" t="s">
        <v>1392</v>
      </c>
      <c r="Y746">
        <v>1</v>
      </c>
      <c r="Z746">
        <v>0</v>
      </c>
      <c r="AA746">
        <v>26</v>
      </c>
    </row>
    <row r="747" spans="1:27" x14ac:dyDescent="0.3">
      <c r="A747" s="1" t="s">
        <v>2782</v>
      </c>
      <c r="B747">
        <v>746</v>
      </c>
      <c r="C747" s="1" t="s">
        <v>2783</v>
      </c>
      <c r="D747" s="1" t="s">
        <v>796</v>
      </c>
      <c r="E747" s="1" t="s">
        <v>39</v>
      </c>
      <c r="F747" s="1" t="s">
        <v>910</v>
      </c>
      <c r="G747" s="1" t="s">
        <v>64</v>
      </c>
      <c r="H747" s="1" t="s">
        <v>55</v>
      </c>
      <c r="I747" s="1" t="s">
        <v>64</v>
      </c>
      <c r="J747" s="1" t="s">
        <v>32</v>
      </c>
      <c r="K747" s="1" t="s">
        <v>1395</v>
      </c>
      <c r="L747">
        <v>3</v>
      </c>
      <c r="M747">
        <v>0</v>
      </c>
      <c r="N747">
        <v>0</v>
      </c>
      <c r="O747">
        <v>3</v>
      </c>
      <c r="P747">
        <v>3</v>
      </c>
      <c r="Q747">
        <v>0</v>
      </c>
      <c r="R747">
        <v>0</v>
      </c>
      <c r="S747">
        <v>0</v>
      </c>
      <c r="T747">
        <v>0</v>
      </c>
      <c r="U747" s="1" t="s">
        <v>1396</v>
      </c>
      <c r="V747" s="1" t="s">
        <v>226</v>
      </c>
      <c r="W747" s="1">
        <f t="shared" si="11"/>
        <v>94.92</v>
      </c>
      <c r="X747" s="1" t="s">
        <v>1397</v>
      </c>
      <c r="Y747">
        <v>1</v>
      </c>
      <c r="Z747">
        <v>0</v>
      </c>
      <c r="AA747">
        <v>27</v>
      </c>
    </row>
    <row r="748" spans="1:27" x14ac:dyDescent="0.3">
      <c r="A748" s="1" t="s">
        <v>2784</v>
      </c>
      <c r="B748">
        <v>747</v>
      </c>
      <c r="C748" s="1" t="s">
        <v>2785</v>
      </c>
      <c r="D748" s="1" t="s">
        <v>682</v>
      </c>
      <c r="E748" s="1" t="s">
        <v>41</v>
      </c>
      <c r="F748" s="1" t="s">
        <v>682</v>
      </c>
      <c r="G748" s="1" t="s">
        <v>682</v>
      </c>
      <c r="H748" s="1" t="s">
        <v>63</v>
      </c>
      <c r="I748" s="1" t="s">
        <v>32</v>
      </c>
      <c r="J748" s="1" t="s">
        <v>32</v>
      </c>
      <c r="K748" s="1" t="s">
        <v>2018</v>
      </c>
      <c r="L748">
        <v>3</v>
      </c>
      <c r="M748">
        <v>0</v>
      </c>
      <c r="N748">
        <v>0</v>
      </c>
      <c r="O748">
        <v>4</v>
      </c>
      <c r="P748">
        <v>3</v>
      </c>
      <c r="Q748">
        <v>0</v>
      </c>
      <c r="R748">
        <v>0</v>
      </c>
      <c r="S748">
        <v>1</v>
      </c>
      <c r="T748">
        <v>1</v>
      </c>
      <c r="U748" s="1" t="s">
        <v>2018</v>
      </c>
      <c r="V748" s="1" t="s">
        <v>152</v>
      </c>
      <c r="W748" s="1">
        <f t="shared" si="11"/>
        <v>63.28</v>
      </c>
      <c r="X748" s="1" t="s">
        <v>1454</v>
      </c>
      <c r="Y748">
        <v>1</v>
      </c>
      <c r="Z748">
        <v>1</v>
      </c>
      <c r="AA748">
        <v>28</v>
      </c>
    </row>
    <row r="749" spans="1:27" x14ac:dyDescent="0.3">
      <c r="A749" s="1" t="s">
        <v>2786</v>
      </c>
      <c r="B749">
        <v>748</v>
      </c>
      <c r="C749" s="1" t="s">
        <v>2787</v>
      </c>
      <c r="D749" s="1" t="s">
        <v>808</v>
      </c>
      <c r="E749" s="1" t="s">
        <v>32</v>
      </c>
      <c r="F749" s="1" t="s">
        <v>922</v>
      </c>
      <c r="G749" s="1" t="s">
        <v>689</v>
      </c>
      <c r="H749" s="1" t="s">
        <v>74</v>
      </c>
      <c r="I749" s="1" t="s">
        <v>32</v>
      </c>
      <c r="J749" s="1" t="s">
        <v>74</v>
      </c>
      <c r="K749" s="1" t="s">
        <v>2788</v>
      </c>
      <c r="L749">
        <v>3</v>
      </c>
      <c r="M749">
        <v>1</v>
      </c>
      <c r="N749">
        <v>0</v>
      </c>
      <c r="O749">
        <v>5</v>
      </c>
      <c r="P749">
        <v>4</v>
      </c>
      <c r="Q749">
        <v>0</v>
      </c>
      <c r="R749">
        <v>0</v>
      </c>
      <c r="S749">
        <v>1</v>
      </c>
      <c r="T749">
        <v>1</v>
      </c>
      <c r="U749" s="1" t="s">
        <v>2789</v>
      </c>
      <c r="V749" s="1" t="s">
        <v>520</v>
      </c>
      <c r="W749" s="1">
        <f t="shared" si="11"/>
        <v>62.26</v>
      </c>
      <c r="X749" s="1" t="s">
        <v>786</v>
      </c>
      <c r="Y749">
        <v>1</v>
      </c>
      <c r="Z749">
        <v>1</v>
      </c>
      <c r="AA749">
        <v>29</v>
      </c>
    </row>
    <row r="750" spans="1:27" x14ac:dyDescent="0.3">
      <c r="A750" s="1" t="s">
        <v>2790</v>
      </c>
      <c r="B750">
        <v>749</v>
      </c>
      <c r="C750" s="1" t="s">
        <v>2791</v>
      </c>
      <c r="D750" s="1" t="s">
        <v>813</v>
      </c>
      <c r="E750" s="1" t="s">
        <v>29</v>
      </c>
      <c r="F750" s="1" t="s">
        <v>928</v>
      </c>
      <c r="G750" s="1" t="s">
        <v>695</v>
      </c>
      <c r="H750" s="1" t="s">
        <v>29</v>
      </c>
      <c r="I750" s="1" t="s">
        <v>32</v>
      </c>
      <c r="J750" s="1" t="s">
        <v>29</v>
      </c>
      <c r="K750" s="1" t="s">
        <v>725</v>
      </c>
      <c r="L750">
        <v>3</v>
      </c>
      <c r="M750">
        <v>0</v>
      </c>
      <c r="N750">
        <v>0</v>
      </c>
      <c r="O750">
        <v>6</v>
      </c>
      <c r="P750">
        <v>3</v>
      </c>
      <c r="Q750">
        <v>0</v>
      </c>
      <c r="R750">
        <v>0</v>
      </c>
      <c r="S750">
        <v>1</v>
      </c>
      <c r="T750">
        <v>1</v>
      </c>
      <c r="U750" s="1" t="s">
        <v>726</v>
      </c>
      <c r="V750" s="1" t="s">
        <v>169</v>
      </c>
      <c r="W750" s="1">
        <f t="shared" si="11"/>
        <v>270.07</v>
      </c>
      <c r="X750" s="1" t="s">
        <v>727</v>
      </c>
      <c r="Y750">
        <v>1</v>
      </c>
      <c r="Z750">
        <v>1</v>
      </c>
      <c r="AA750">
        <v>30</v>
      </c>
    </row>
    <row r="751" spans="1:27" x14ac:dyDescent="0.3">
      <c r="A751" s="1" t="s">
        <v>2792</v>
      </c>
      <c r="B751">
        <v>750</v>
      </c>
      <c r="C751" s="1" t="s">
        <v>2793</v>
      </c>
      <c r="D751" s="1" t="s">
        <v>703</v>
      </c>
      <c r="E751" s="1" t="s">
        <v>39</v>
      </c>
      <c r="F751" s="1" t="s">
        <v>703</v>
      </c>
      <c r="G751" s="1" t="s">
        <v>703</v>
      </c>
      <c r="H751" s="1" t="s">
        <v>32</v>
      </c>
      <c r="I751" s="1" t="s">
        <v>32</v>
      </c>
      <c r="J751" s="1" t="s">
        <v>75</v>
      </c>
      <c r="K751" s="1" t="s">
        <v>1411</v>
      </c>
      <c r="L751">
        <v>1</v>
      </c>
      <c r="M751">
        <v>2</v>
      </c>
      <c r="N751">
        <v>0</v>
      </c>
      <c r="O751">
        <v>1</v>
      </c>
      <c r="P751">
        <v>3</v>
      </c>
      <c r="Q751">
        <v>0</v>
      </c>
      <c r="R751">
        <v>0</v>
      </c>
      <c r="S751">
        <v>1</v>
      </c>
      <c r="T751">
        <v>1</v>
      </c>
      <c r="U751" s="1" t="s">
        <v>1411</v>
      </c>
      <c r="V751" s="1" t="s">
        <v>177</v>
      </c>
      <c r="W751" s="1">
        <f t="shared" si="11"/>
        <v>61.02</v>
      </c>
      <c r="X751" s="1" t="s">
        <v>1412</v>
      </c>
      <c r="Y751">
        <v>1</v>
      </c>
      <c r="Z751">
        <v>1</v>
      </c>
      <c r="AA751">
        <v>31</v>
      </c>
    </row>
    <row r="752" spans="1:27" x14ac:dyDescent="0.3">
      <c r="A752" s="1" t="s">
        <v>2794</v>
      </c>
      <c r="B752">
        <v>751</v>
      </c>
      <c r="C752" s="1" t="s">
        <v>2795</v>
      </c>
      <c r="D752" s="1" t="s">
        <v>826</v>
      </c>
      <c r="E752" s="1" t="s">
        <v>41</v>
      </c>
      <c r="F752" s="1" t="s">
        <v>940</v>
      </c>
      <c r="G752" s="1" t="s">
        <v>712</v>
      </c>
      <c r="H752" s="1" t="s">
        <v>41</v>
      </c>
      <c r="I752" s="1" t="s">
        <v>32</v>
      </c>
      <c r="J752" s="1" t="s">
        <v>41</v>
      </c>
      <c r="K752" s="1" t="s">
        <v>804</v>
      </c>
      <c r="L752">
        <v>1</v>
      </c>
      <c r="M752">
        <v>0</v>
      </c>
      <c r="N752">
        <v>0</v>
      </c>
      <c r="O752">
        <v>2</v>
      </c>
      <c r="P752">
        <v>1</v>
      </c>
      <c r="Q752">
        <v>0</v>
      </c>
      <c r="R752">
        <v>0</v>
      </c>
      <c r="S752">
        <v>1</v>
      </c>
      <c r="T752">
        <v>1</v>
      </c>
      <c r="U752" s="1" t="s">
        <v>805</v>
      </c>
      <c r="V752" s="1" t="s">
        <v>87</v>
      </c>
      <c r="W752" s="1">
        <f t="shared" si="11"/>
        <v>274.58999999999997</v>
      </c>
      <c r="X752" s="1" t="s">
        <v>659</v>
      </c>
      <c r="Y752">
        <v>1</v>
      </c>
      <c r="Z752">
        <v>1</v>
      </c>
      <c r="AA752">
        <v>32</v>
      </c>
    </row>
    <row r="753" spans="1:27" x14ac:dyDescent="0.3">
      <c r="A753" s="1" t="s">
        <v>2796</v>
      </c>
      <c r="B753">
        <v>752</v>
      </c>
      <c r="C753" s="1" t="s">
        <v>2797</v>
      </c>
      <c r="D753" s="1" t="s">
        <v>832</v>
      </c>
      <c r="E753" s="1" t="s">
        <v>32</v>
      </c>
      <c r="F753" s="1" t="s">
        <v>947</v>
      </c>
      <c r="G753" s="1" t="s">
        <v>718</v>
      </c>
      <c r="H753" s="1" t="s">
        <v>48</v>
      </c>
      <c r="I753" s="1" t="s">
        <v>32</v>
      </c>
      <c r="J753" s="1" t="s">
        <v>32</v>
      </c>
      <c r="K753" s="1" t="s">
        <v>809</v>
      </c>
      <c r="L753">
        <v>1</v>
      </c>
      <c r="M753">
        <v>1</v>
      </c>
      <c r="N753">
        <v>0</v>
      </c>
      <c r="O753">
        <v>3</v>
      </c>
      <c r="P753">
        <v>2</v>
      </c>
      <c r="Q753">
        <v>0</v>
      </c>
      <c r="R753">
        <v>0</v>
      </c>
      <c r="S753">
        <v>1</v>
      </c>
      <c r="T753">
        <v>1</v>
      </c>
      <c r="U753" s="1" t="s">
        <v>810</v>
      </c>
      <c r="V753" s="1" t="s">
        <v>96</v>
      </c>
      <c r="W753" s="1">
        <f t="shared" si="11"/>
        <v>229.39</v>
      </c>
      <c r="X753" s="1" t="s">
        <v>663</v>
      </c>
      <c r="Y753">
        <v>1</v>
      </c>
      <c r="Z753">
        <v>1</v>
      </c>
      <c r="AA753">
        <v>33</v>
      </c>
    </row>
    <row r="754" spans="1:27" x14ac:dyDescent="0.3">
      <c r="A754" s="1" t="s">
        <v>2798</v>
      </c>
      <c r="B754">
        <v>753</v>
      </c>
      <c r="C754" s="1" t="s">
        <v>2799</v>
      </c>
      <c r="D754" s="1" t="s">
        <v>838</v>
      </c>
      <c r="E754" s="1" t="s">
        <v>29</v>
      </c>
      <c r="F754" s="1" t="s">
        <v>840</v>
      </c>
      <c r="G754" s="1" t="s">
        <v>29</v>
      </c>
      <c r="H754" s="1" t="s">
        <v>55</v>
      </c>
      <c r="I754" s="1" t="s">
        <v>32</v>
      </c>
      <c r="J754" s="1" t="s">
        <v>74</v>
      </c>
      <c r="K754" s="1" t="s">
        <v>815</v>
      </c>
      <c r="L754">
        <v>2</v>
      </c>
      <c r="M754">
        <v>0</v>
      </c>
      <c r="N754">
        <v>0</v>
      </c>
      <c r="O754">
        <v>4</v>
      </c>
      <c r="P754">
        <v>2</v>
      </c>
      <c r="Q754">
        <v>0</v>
      </c>
      <c r="R754">
        <v>0</v>
      </c>
      <c r="S754">
        <v>1</v>
      </c>
      <c r="T754">
        <v>1</v>
      </c>
      <c r="U754" s="1" t="s">
        <v>815</v>
      </c>
      <c r="V754" s="1" t="s">
        <v>104</v>
      </c>
      <c r="W754" s="1">
        <f t="shared" si="11"/>
        <v>76.84</v>
      </c>
      <c r="X754" s="1" t="s">
        <v>816</v>
      </c>
      <c r="Y754">
        <v>1</v>
      </c>
      <c r="Z754">
        <v>1</v>
      </c>
      <c r="AA754">
        <v>34</v>
      </c>
    </row>
    <row r="755" spans="1:27" x14ac:dyDescent="0.3">
      <c r="A755" s="1" t="s">
        <v>2800</v>
      </c>
      <c r="B755">
        <v>754</v>
      </c>
      <c r="C755" s="1" t="s">
        <v>2801</v>
      </c>
      <c r="D755" s="1" t="s">
        <v>843</v>
      </c>
      <c r="E755" s="1" t="s">
        <v>39</v>
      </c>
      <c r="F755" s="1" t="s">
        <v>958</v>
      </c>
      <c r="G755" s="1" t="s">
        <v>730</v>
      </c>
      <c r="H755" s="1" t="s">
        <v>63</v>
      </c>
      <c r="I755" s="1" t="s">
        <v>32</v>
      </c>
      <c r="J755" s="1" t="s">
        <v>29</v>
      </c>
      <c r="K755" s="1" t="s">
        <v>2802</v>
      </c>
      <c r="L755">
        <v>2</v>
      </c>
      <c r="M755">
        <v>0</v>
      </c>
      <c r="N755">
        <v>0</v>
      </c>
      <c r="O755">
        <v>5</v>
      </c>
      <c r="P755">
        <v>2</v>
      </c>
      <c r="Q755">
        <v>0</v>
      </c>
      <c r="R755">
        <v>0</v>
      </c>
      <c r="S755">
        <v>1</v>
      </c>
      <c r="T755">
        <v>1</v>
      </c>
      <c r="U755" s="1" t="s">
        <v>2803</v>
      </c>
      <c r="V755" s="1" t="s">
        <v>1335</v>
      </c>
      <c r="W755" s="1">
        <f t="shared" si="11"/>
        <v>78.649999999999906</v>
      </c>
      <c r="X755" s="1" t="s">
        <v>677</v>
      </c>
      <c r="Y755">
        <v>1</v>
      </c>
      <c r="Z755">
        <v>1</v>
      </c>
      <c r="AA755">
        <v>35</v>
      </c>
    </row>
    <row r="756" spans="1:27" x14ac:dyDescent="0.3">
      <c r="A756" s="1" t="s">
        <v>2804</v>
      </c>
      <c r="B756">
        <v>755</v>
      </c>
      <c r="C756" s="1" t="s">
        <v>2805</v>
      </c>
      <c r="D756" s="1" t="s">
        <v>849</v>
      </c>
      <c r="E756" s="1" t="s">
        <v>41</v>
      </c>
      <c r="F756" s="1" t="s">
        <v>964</v>
      </c>
      <c r="G756" s="1" t="s">
        <v>735</v>
      </c>
      <c r="H756" s="1" t="s">
        <v>74</v>
      </c>
      <c r="I756" s="1" t="s">
        <v>32</v>
      </c>
      <c r="J756" s="1" t="s">
        <v>75</v>
      </c>
      <c r="K756" s="1" t="s">
        <v>2806</v>
      </c>
      <c r="L756">
        <v>2</v>
      </c>
      <c r="M756">
        <v>0</v>
      </c>
      <c r="N756">
        <v>0</v>
      </c>
      <c r="O756">
        <v>6</v>
      </c>
      <c r="P756">
        <v>2</v>
      </c>
      <c r="Q756">
        <v>0</v>
      </c>
      <c r="R756">
        <v>0</v>
      </c>
      <c r="S756">
        <v>1</v>
      </c>
      <c r="T756">
        <v>1</v>
      </c>
      <c r="U756" s="1" t="s">
        <v>2807</v>
      </c>
      <c r="V756" s="1" t="s">
        <v>1027</v>
      </c>
      <c r="W756" s="1">
        <f t="shared" si="11"/>
        <v>268.49</v>
      </c>
      <c r="X756" s="1" t="s">
        <v>1436</v>
      </c>
      <c r="Y756">
        <v>1</v>
      </c>
      <c r="Z756">
        <v>1</v>
      </c>
      <c r="AA756">
        <v>36</v>
      </c>
    </row>
    <row r="757" spans="1:27" x14ac:dyDescent="0.3">
      <c r="A757" s="1" t="s">
        <v>2808</v>
      </c>
      <c r="B757">
        <v>756</v>
      </c>
      <c r="C757" s="1" t="s">
        <v>2809</v>
      </c>
      <c r="D757" s="1" t="s">
        <v>856</v>
      </c>
      <c r="E757" s="1" t="s">
        <v>32</v>
      </c>
      <c r="F757" s="1" t="s">
        <v>856</v>
      </c>
      <c r="G757" s="1" t="s">
        <v>742</v>
      </c>
      <c r="H757" s="1" t="s">
        <v>29</v>
      </c>
      <c r="I757" s="1" t="s">
        <v>32</v>
      </c>
      <c r="J757" s="1" t="s">
        <v>41</v>
      </c>
      <c r="K757" s="1" t="s">
        <v>690</v>
      </c>
      <c r="L757">
        <v>3</v>
      </c>
      <c r="M757">
        <v>2</v>
      </c>
      <c r="N757">
        <v>1</v>
      </c>
      <c r="O757">
        <v>1</v>
      </c>
      <c r="P757">
        <v>6</v>
      </c>
      <c r="Q757">
        <v>0</v>
      </c>
      <c r="R757">
        <v>0</v>
      </c>
      <c r="S757">
        <v>1</v>
      </c>
      <c r="T757">
        <v>1</v>
      </c>
      <c r="U757" s="1" t="s">
        <v>690</v>
      </c>
      <c r="V757" s="1" t="s">
        <v>127</v>
      </c>
      <c r="W757" s="1">
        <f t="shared" si="11"/>
        <v>47.46</v>
      </c>
      <c r="X757" s="1" t="s">
        <v>691</v>
      </c>
      <c r="Y757">
        <v>1</v>
      </c>
      <c r="Z757">
        <v>1</v>
      </c>
      <c r="AA757">
        <v>37</v>
      </c>
    </row>
    <row r="758" spans="1:27" x14ac:dyDescent="0.3">
      <c r="A758" s="1" t="s">
        <v>2810</v>
      </c>
      <c r="B758">
        <v>757</v>
      </c>
      <c r="C758" s="1" t="s">
        <v>2811</v>
      </c>
      <c r="D758" s="1" t="s">
        <v>861</v>
      </c>
      <c r="E758" s="1" t="s">
        <v>29</v>
      </c>
      <c r="F758" s="1" t="s">
        <v>976</v>
      </c>
      <c r="G758" s="1" t="s">
        <v>747</v>
      </c>
      <c r="H758" s="1" t="s">
        <v>32</v>
      </c>
      <c r="I758" s="1" t="s">
        <v>32</v>
      </c>
      <c r="J758" s="1" t="s">
        <v>32</v>
      </c>
      <c r="K758" s="1" t="s">
        <v>696</v>
      </c>
      <c r="L758">
        <v>3</v>
      </c>
      <c r="M758">
        <v>0</v>
      </c>
      <c r="N758">
        <v>0</v>
      </c>
      <c r="O758">
        <v>2</v>
      </c>
      <c r="P758">
        <v>3</v>
      </c>
      <c r="Q758">
        <v>0</v>
      </c>
      <c r="R758">
        <v>0</v>
      </c>
      <c r="S758">
        <v>1</v>
      </c>
      <c r="T758">
        <v>1</v>
      </c>
      <c r="U758" s="1" t="s">
        <v>697</v>
      </c>
      <c r="V758" s="1" t="s">
        <v>288</v>
      </c>
      <c r="W758" s="1">
        <f t="shared" si="11"/>
        <v>301.70999999999998</v>
      </c>
      <c r="X758" s="1" t="s">
        <v>698</v>
      </c>
      <c r="Y758">
        <v>1</v>
      </c>
      <c r="Z758">
        <v>1</v>
      </c>
      <c r="AA758">
        <v>38</v>
      </c>
    </row>
    <row r="759" spans="1:27" x14ac:dyDescent="0.3">
      <c r="A759" s="1" t="s">
        <v>2812</v>
      </c>
      <c r="B759">
        <v>758</v>
      </c>
      <c r="C759" s="1" t="s">
        <v>2813</v>
      </c>
      <c r="D759" s="1" t="s">
        <v>754</v>
      </c>
      <c r="E759" s="1" t="s">
        <v>39</v>
      </c>
      <c r="F759" s="1" t="s">
        <v>754</v>
      </c>
      <c r="G759" s="1" t="s">
        <v>754</v>
      </c>
      <c r="H759" s="1" t="s">
        <v>41</v>
      </c>
      <c r="I759" s="1" t="s">
        <v>32</v>
      </c>
      <c r="J759" s="1" t="s">
        <v>74</v>
      </c>
      <c r="K759" s="1" t="s">
        <v>845</v>
      </c>
      <c r="L759">
        <v>3</v>
      </c>
      <c r="M759">
        <v>0</v>
      </c>
      <c r="N759">
        <v>0</v>
      </c>
      <c r="O759">
        <v>3</v>
      </c>
      <c r="P759">
        <v>3</v>
      </c>
      <c r="Q759">
        <v>0</v>
      </c>
      <c r="R759">
        <v>0</v>
      </c>
      <c r="S759">
        <v>1</v>
      </c>
      <c r="T759">
        <v>1</v>
      </c>
      <c r="U759" s="1" t="s">
        <v>846</v>
      </c>
      <c r="V759" s="1" t="s">
        <v>144</v>
      </c>
      <c r="W759" s="1">
        <f t="shared" si="11"/>
        <v>202.26999999999899</v>
      </c>
      <c r="X759" s="1" t="s">
        <v>776</v>
      </c>
      <c r="Y759">
        <v>1</v>
      </c>
      <c r="Z759">
        <v>1</v>
      </c>
      <c r="AA759">
        <v>39</v>
      </c>
    </row>
    <row r="760" spans="1:27" x14ac:dyDescent="0.3">
      <c r="A760" s="1" t="s">
        <v>2814</v>
      </c>
      <c r="B760">
        <v>759</v>
      </c>
      <c r="C760" s="1" t="s">
        <v>2815</v>
      </c>
      <c r="D760" s="1" t="s">
        <v>871</v>
      </c>
      <c r="E760" s="1" t="s">
        <v>41</v>
      </c>
      <c r="F760" s="1" t="s">
        <v>873</v>
      </c>
      <c r="G760" s="1" t="s">
        <v>760</v>
      </c>
      <c r="H760" s="1" t="s">
        <v>48</v>
      </c>
      <c r="I760" s="1" t="s">
        <v>32</v>
      </c>
      <c r="J760" s="1" t="s">
        <v>29</v>
      </c>
      <c r="K760" s="1" t="s">
        <v>1401</v>
      </c>
      <c r="L760">
        <v>3</v>
      </c>
      <c r="M760">
        <v>0</v>
      </c>
      <c r="N760">
        <v>0</v>
      </c>
      <c r="O760">
        <v>4</v>
      </c>
      <c r="P760">
        <v>3</v>
      </c>
      <c r="Q760">
        <v>0</v>
      </c>
      <c r="R760">
        <v>0</v>
      </c>
      <c r="S760">
        <v>1</v>
      </c>
      <c r="T760">
        <v>1</v>
      </c>
      <c r="U760" s="1" t="s">
        <v>1401</v>
      </c>
      <c r="V760" s="1" t="s">
        <v>152</v>
      </c>
      <c r="W760" s="1">
        <f t="shared" si="11"/>
        <v>63.28</v>
      </c>
      <c r="X760" s="1" t="s">
        <v>714</v>
      </c>
      <c r="Y760">
        <v>1</v>
      </c>
      <c r="Z760">
        <v>1</v>
      </c>
      <c r="AA760">
        <v>40</v>
      </c>
    </row>
    <row r="761" spans="1:27" x14ac:dyDescent="0.3">
      <c r="A761" s="1" t="s">
        <v>2816</v>
      </c>
      <c r="B761">
        <v>760</v>
      </c>
      <c r="C761" s="1" t="s">
        <v>2817</v>
      </c>
      <c r="D761" s="1" t="s">
        <v>878</v>
      </c>
      <c r="E761" s="1" t="s">
        <v>32</v>
      </c>
      <c r="F761" s="1" t="s">
        <v>990</v>
      </c>
      <c r="G761" s="1" t="s">
        <v>763</v>
      </c>
      <c r="H761" s="1" t="s">
        <v>55</v>
      </c>
      <c r="I761" s="1" t="s">
        <v>32</v>
      </c>
      <c r="J761" s="1" t="s">
        <v>75</v>
      </c>
      <c r="K761" s="1" t="s">
        <v>1458</v>
      </c>
      <c r="L761">
        <v>1</v>
      </c>
      <c r="M761">
        <v>1</v>
      </c>
      <c r="N761">
        <v>0</v>
      </c>
      <c r="O761">
        <v>5</v>
      </c>
      <c r="P761">
        <v>2</v>
      </c>
      <c r="Q761">
        <v>0</v>
      </c>
      <c r="R761">
        <v>0</v>
      </c>
      <c r="S761">
        <v>1</v>
      </c>
      <c r="T761">
        <v>1</v>
      </c>
      <c r="U761" s="1" t="s">
        <v>1459</v>
      </c>
      <c r="V761" s="1" t="s">
        <v>161</v>
      </c>
      <c r="W761" s="1">
        <f t="shared" si="11"/>
        <v>66.67</v>
      </c>
      <c r="X761" s="1" t="s">
        <v>1460</v>
      </c>
      <c r="Y761">
        <v>1</v>
      </c>
      <c r="Z761">
        <v>1</v>
      </c>
      <c r="AA761">
        <v>41</v>
      </c>
    </row>
    <row r="762" spans="1:27" x14ac:dyDescent="0.3">
      <c r="A762" s="1" t="s">
        <v>2818</v>
      </c>
      <c r="B762">
        <v>761</v>
      </c>
      <c r="C762" s="1" t="s">
        <v>2819</v>
      </c>
      <c r="D762" s="1" t="s">
        <v>886</v>
      </c>
      <c r="E762" s="1" t="s">
        <v>29</v>
      </c>
      <c r="F762" s="1" t="s">
        <v>996</v>
      </c>
      <c r="G762" s="1" t="s">
        <v>30</v>
      </c>
      <c r="H762" s="1" t="s">
        <v>63</v>
      </c>
      <c r="I762" s="1" t="s">
        <v>33</v>
      </c>
      <c r="J762" s="1" t="s">
        <v>33</v>
      </c>
      <c r="K762" s="1" t="s">
        <v>34</v>
      </c>
      <c r="L762">
        <v>1</v>
      </c>
      <c r="M762">
        <v>0</v>
      </c>
      <c r="N762">
        <v>0</v>
      </c>
      <c r="O762">
        <v>6</v>
      </c>
      <c r="P762">
        <v>1</v>
      </c>
      <c r="Q762">
        <v>1</v>
      </c>
      <c r="R762">
        <v>0</v>
      </c>
      <c r="S762">
        <v>0</v>
      </c>
      <c r="T762">
        <v>0</v>
      </c>
      <c r="U762" s="1" t="s">
        <v>648</v>
      </c>
      <c r="V762" s="1">
        <v>0</v>
      </c>
      <c r="W762" s="1">
        <f t="shared" si="11"/>
        <v>0</v>
      </c>
      <c r="X762" s="1" t="s">
        <v>648</v>
      </c>
      <c r="Y762">
        <v>1</v>
      </c>
      <c r="Z762">
        <v>0</v>
      </c>
      <c r="AA762">
        <v>42</v>
      </c>
    </row>
    <row r="763" spans="1:27" x14ac:dyDescent="0.3">
      <c r="A763" s="1" t="s">
        <v>2820</v>
      </c>
      <c r="B763">
        <v>762</v>
      </c>
      <c r="C763" s="1" t="s">
        <v>2821</v>
      </c>
      <c r="D763" s="1" t="s">
        <v>891</v>
      </c>
      <c r="E763" s="1" t="s">
        <v>39</v>
      </c>
      <c r="F763" s="1" t="s">
        <v>1000</v>
      </c>
      <c r="G763" s="1" t="s">
        <v>775</v>
      </c>
      <c r="H763" s="1" t="s">
        <v>74</v>
      </c>
      <c r="I763" s="1" t="s">
        <v>33</v>
      </c>
      <c r="J763" s="1" t="s">
        <v>33</v>
      </c>
      <c r="K763" s="1" t="s">
        <v>34</v>
      </c>
      <c r="L763">
        <v>1</v>
      </c>
      <c r="M763">
        <v>2</v>
      </c>
      <c r="N763">
        <v>0</v>
      </c>
      <c r="O763">
        <v>1</v>
      </c>
      <c r="P763">
        <v>3</v>
      </c>
      <c r="Q763">
        <v>1</v>
      </c>
      <c r="R763">
        <v>0</v>
      </c>
      <c r="S763">
        <v>0</v>
      </c>
      <c r="T763">
        <v>0</v>
      </c>
      <c r="U763" s="1" t="s">
        <v>653</v>
      </c>
      <c r="V763" s="1">
        <v>0</v>
      </c>
      <c r="W763" s="1">
        <f t="shared" si="11"/>
        <v>0</v>
      </c>
      <c r="X763" s="1" t="s">
        <v>653</v>
      </c>
      <c r="Y763">
        <v>1</v>
      </c>
      <c r="Z763">
        <v>0</v>
      </c>
      <c r="AA763">
        <v>43</v>
      </c>
    </row>
    <row r="764" spans="1:27" x14ac:dyDescent="0.3">
      <c r="A764" s="1" t="s">
        <v>2822</v>
      </c>
      <c r="B764">
        <v>763</v>
      </c>
      <c r="C764" s="1" t="s">
        <v>2823</v>
      </c>
      <c r="D764" s="1" t="s">
        <v>780</v>
      </c>
      <c r="E764" s="1" t="s">
        <v>41</v>
      </c>
      <c r="F764" s="1" t="s">
        <v>780</v>
      </c>
      <c r="G764" s="1" t="s">
        <v>780</v>
      </c>
      <c r="H764" s="1" t="s">
        <v>29</v>
      </c>
      <c r="I764" s="1" t="s">
        <v>33</v>
      </c>
      <c r="J764" s="1" t="s">
        <v>33</v>
      </c>
      <c r="K764" s="1" t="s">
        <v>34</v>
      </c>
      <c r="L764">
        <v>2</v>
      </c>
      <c r="M764">
        <v>0</v>
      </c>
      <c r="N764">
        <v>0</v>
      </c>
      <c r="O764">
        <v>2</v>
      </c>
      <c r="P764">
        <v>2</v>
      </c>
      <c r="Q764">
        <v>1</v>
      </c>
      <c r="R764">
        <v>0</v>
      </c>
      <c r="S764">
        <v>0</v>
      </c>
      <c r="T764">
        <v>0</v>
      </c>
      <c r="U764" s="1" t="s">
        <v>659</v>
      </c>
      <c r="V764" s="1">
        <v>0</v>
      </c>
      <c r="W764" s="1">
        <f t="shared" si="11"/>
        <v>0</v>
      </c>
      <c r="X764" s="1" t="s">
        <v>659</v>
      </c>
      <c r="Y764">
        <v>1</v>
      </c>
      <c r="Z764">
        <v>0</v>
      </c>
      <c r="AA764">
        <v>44</v>
      </c>
    </row>
    <row r="765" spans="1:27" x14ac:dyDescent="0.3">
      <c r="A765" s="1" t="s">
        <v>2824</v>
      </c>
      <c r="B765">
        <v>764</v>
      </c>
      <c r="C765" s="1" t="s">
        <v>2825</v>
      </c>
      <c r="D765" s="1" t="s">
        <v>898</v>
      </c>
      <c r="E765" s="1" t="s">
        <v>32</v>
      </c>
      <c r="F765" s="1" t="s">
        <v>1007</v>
      </c>
      <c r="G765" s="1" t="s">
        <v>785</v>
      </c>
      <c r="H765" s="1" t="s">
        <v>32</v>
      </c>
      <c r="I765" s="1" t="s">
        <v>56</v>
      </c>
      <c r="J765" s="1" t="s">
        <v>33</v>
      </c>
      <c r="K765" s="1" t="s">
        <v>34</v>
      </c>
      <c r="L765">
        <v>2</v>
      </c>
      <c r="M765">
        <v>1</v>
      </c>
      <c r="N765">
        <v>0</v>
      </c>
      <c r="O765">
        <v>3</v>
      </c>
      <c r="P765">
        <v>3</v>
      </c>
      <c r="Q765">
        <v>0</v>
      </c>
      <c r="R765">
        <v>1</v>
      </c>
      <c r="S765">
        <v>0</v>
      </c>
      <c r="T765">
        <v>0</v>
      </c>
      <c r="U765" s="1" t="s">
        <v>663</v>
      </c>
      <c r="V765" s="1">
        <v>0</v>
      </c>
      <c r="W765" s="1">
        <f t="shared" si="11"/>
        <v>0</v>
      </c>
      <c r="X765" s="1" t="s">
        <v>663</v>
      </c>
      <c r="Y765">
        <v>1</v>
      </c>
      <c r="Z765">
        <v>0</v>
      </c>
      <c r="AA765">
        <v>45</v>
      </c>
    </row>
    <row r="766" spans="1:27" x14ac:dyDescent="0.3">
      <c r="A766" s="1" t="s">
        <v>2826</v>
      </c>
      <c r="B766">
        <v>765</v>
      </c>
      <c r="C766" s="1" t="s">
        <v>2827</v>
      </c>
      <c r="D766" s="1" t="s">
        <v>903</v>
      </c>
      <c r="E766" s="1" t="s">
        <v>29</v>
      </c>
      <c r="F766" s="1" t="s">
        <v>1012</v>
      </c>
      <c r="G766" s="1" t="s">
        <v>789</v>
      </c>
      <c r="H766" s="1" t="s">
        <v>41</v>
      </c>
      <c r="I766" s="1" t="s">
        <v>64</v>
      </c>
      <c r="J766" s="1" t="s">
        <v>32</v>
      </c>
      <c r="K766" s="1" t="s">
        <v>668</v>
      </c>
      <c r="L766">
        <v>2</v>
      </c>
      <c r="M766">
        <v>0</v>
      </c>
      <c r="N766">
        <v>0</v>
      </c>
      <c r="O766">
        <v>4</v>
      </c>
      <c r="P766">
        <v>2</v>
      </c>
      <c r="Q766">
        <v>0</v>
      </c>
      <c r="R766">
        <v>0</v>
      </c>
      <c r="S766">
        <v>0</v>
      </c>
      <c r="T766">
        <v>0</v>
      </c>
      <c r="U766" s="1" t="s">
        <v>669</v>
      </c>
      <c r="V766" s="1" t="s">
        <v>104</v>
      </c>
      <c r="W766" s="1">
        <f t="shared" si="11"/>
        <v>76.84</v>
      </c>
      <c r="X766" s="1" t="s">
        <v>670</v>
      </c>
      <c r="Y766">
        <v>1</v>
      </c>
      <c r="Z766">
        <v>0</v>
      </c>
      <c r="AA766">
        <v>46</v>
      </c>
    </row>
    <row r="767" spans="1:27" x14ac:dyDescent="0.3">
      <c r="A767" s="1" t="s">
        <v>2828</v>
      </c>
      <c r="B767">
        <v>766</v>
      </c>
      <c r="C767" s="1" t="s">
        <v>2829</v>
      </c>
      <c r="D767" s="1" t="s">
        <v>909</v>
      </c>
      <c r="E767" s="1" t="s">
        <v>39</v>
      </c>
      <c r="F767" s="1" t="s">
        <v>909</v>
      </c>
      <c r="G767" s="1" t="s">
        <v>796</v>
      </c>
      <c r="H767" s="1" t="s">
        <v>48</v>
      </c>
      <c r="I767" s="1" t="s">
        <v>64</v>
      </c>
      <c r="J767" s="1" t="s">
        <v>74</v>
      </c>
      <c r="K767" s="1" t="s">
        <v>675</v>
      </c>
      <c r="L767">
        <v>3</v>
      </c>
      <c r="M767">
        <v>0</v>
      </c>
      <c r="N767">
        <v>0</v>
      </c>
      <c r="O767">
        <v>5</v>
      </c>
      <c r="P767">
        <v>3</v>
      </c>
      <c r="Q767">
        <v>0</v>
      </c>
      <c r="R767">
        <v>0</v>
      </c>
      <c r="S767">
        <v>0</v>
      </c>
      <c r="T767">
        <v>0</v>
      </c>
      <c r="U767" s="1" t="s">
        <v>676</v>
      </c>
      <c r="V767" s="1" t="s">
        <v>304</v>
      </c>
      <c r="W767" s="1">
        <f t="shared" si="11"/>
        <v>64.41</v>
      </c>
      <c r="X767" s="1" t="s">
        <v>677</v>
      </c>
      <c r="Y767">
        <v>1</v>
      </c>
      <c r="Z767">
        <v>0</v>
      </c>
      <c r="AA767">
        <v>47</v>
      </c>
    </row>
    <row r="768" spans="1:27" x14ac:dyDescent="0.3">
      <c r="A768" s="1" t="s">
        <v>2830</v>
      </c>
      <c r="B768">
        <v>767</v>
      </c>
      <c r="C768" s="1" t="s">
        <v>2831</v>
      </c>
      <c r="D768" s="1" t="s">
        <v>916</v>
      </c>
      <c r="E768" s="1" t="s">
        <v>41</v>
      </c>
      <c r="F768" s="1" t="s">
        <v>1024</v>
      </c>
      <c r="G768" s="1" t="s">
        <v>803</v>
      </c>
      <c r="H768" s="1" t="s">
        <v>55</v>
      </c>
      <c r="I768" s="1" t="s">
        <v>32</v>
      </c>
      <c r="J768" s="1" t="s">
        <v>74</v>
      </c>
      <c r="K768" s="1" t="s">
        <v>1933</v>
      </c>
      <c r="L768">
        <v>3</v>
      </c>
      <c r="M768">
        <v>0</v>
      </c>
      <c r="N768">
        <v>0</v>
      </c>
      <c r="O768">
        <v>6</v>
      </c>
      <c r="P768">
        <v>3</v>
      </c>
      <c r="Q768">
        <v>0</v>
      </c>
      <c r="R768">
        <v>0</v>
      </c>
      <c r="S768">
        <v>1</v>
      </c>
      <c r="T768">
        <v>1</v>
      </c>
      <c r="U768" s="1" t="s">
        <v>1934</v>
      </c>
      <c r="V768" s="1" t="s">
        <v>120</v>
      </c>
      <c r="W768" s="1">
        <f t="shared" si="11"/>
        <v>249.39</v>
      </c>
      <c r="X768" s="1" t="s">
        <v>1383</v>
      </c>
      <c r="Y768">
        <v>1</v>
      </c>
      <c r="Z768">
        <v>1</v>
      </c>
      <c r="AA768">
        <v>48</v>
      </c>
    </row>
    <row r="769" spans="1:27" x14ac:dyDescent="0.3">
      <c r="A769" s="1" t="s">
        <v>2832</v>
      </c>
      <c r="B769">
        <v>768</v>
      </c>
      <c r="C769" s="1" t="s">
        <v>2833</v>
      </c>
      <c r="D769" s="1" t="s">
        <v>921</v>
      </c>
      <c r="E769" s="1" t="s">
        <v>32</v>
      </c>
      <c r="F769" s="1" t="s">
        <v>921</v>
      </c>
      <c r="G769" s="1" t="s">
        <v>808</v>
      </c>
      <c r="H769" s="1" t="s">
        <v>63</v>
      </c>
      <c r="I769" s="1" t="s">
        <v>32</v>
      </c>
      <c r="J769" s="1" t="s">
        <v>29</v>
      </c>
      <c r="K769" s="1" t="s">
        <v>1440</v>
      </c>
      <c r="L769">
        <v>3</v>
      </c>
      <c r="M769">
        <v>2</v>
      </c>
      <c r="N769">
        <v>1</v>
      </c>
      <c r="O769">
        <v>1</v>
      </c>
      <c r="P769">
        <v>6</v>
      </c>
      <c r="Q769">
        <v>0</v>
      </c>
      <c r="R769">
        <v>0</v>
      </c>
      <c r="S769">
        <v>1</v>
      </c>
      <c r="T769">
        <v>1</v>
      </c>
      <c r="U769" s="1" t="s">
        <v>1440</v>
      </c>
      <c r="V769" s="1" t="s">
        <v>127</v>
      </c>
      <c r="W769" s="1">
        <f t="shared" si="11"/>
        <v>47.46</v>
      </c>
      <c r="X769" s="1" t="s">
        <v>835</v>
      </c>
      <c r="Y769">
        <v>1</v>
      </c>
      <c r="Z769">
        <v>1</v>
      </c>
      <c r="AA769">
        <v>49</v>
      </c>
    </row>
    <row r="770" spans="1:27" x14ac:dyDescent="0.3">
      <c r="A770" s="1" t="s">
        <v>2834</v>
      </c>
      <c r="B770">
        <v>769</v>
      </c>
      <c r="C770" s="1" t="s">
        <v>2835</v>
      </c>
      <c r="D770" s="1" t="s">
        <v>814</v>
      </c>
      <c r="E770" s="1" t="s">
        <v>29</v>
      </c>
      <c r="F770" s="1" t="s">
        <v>814</v>
      </c>
      <c r="G770" s="1" t="s">
        <v>814</v>
      </c>
      <c r="H770" s="1" t="s">
        <v>74</v>
      </c>
      <c r="I770" s="1" t="s">
        <v>32</v>
      </c>
      <c r="J770" s="1" t="s">
        <v>75</v>
      </c>
      <c r="K770" s="1" t="s">
        <v>1941</v>
      </c>
      <c r="L770">
        <v>3</v>
      </c>
      <c r="M770">
        <v>0</v>
      </c>
      <c r="N770">
        <v>0</v>
      </c>
      <c r="O770">
        <v>2</v>
      </c>
      <c r="P770">
        <v>3</v>
      </c>
      <c r="Q770">
        <v>0</v>
      </c>
      <c r="R770">
        <v>0</v>
      </c>
      <c r="S770">
        <v>1</v>
      </c>
      <c r="T770">
        <v>1</v>
      </c>
      <c r="U770" s="1" t="s">
        <v>1942</v>
      </c>
      <c r="V770" s="1" t="s">
        <v>135</v>
      </c>
      <c r="W770" s="1">
        <f t="shared" ref="W770:W833" si="12">VALUE(SUBSTITUTE(TRIM(V770),".", ","))</f>
        <v>281.02999999999997</v>
      </c>
      <c r="X770" s="1" t="s">
        <v>1943</v>
      </c>
      <c r="Y770">
        <v>1</v>
      </c>
      <c r="Z770">
        <v>1</v>
      </c>
      <c r="AA770">
        <v>50</v>
      </c>
    </row>
    <row r="771" spans="1:27" x14ac:dyDescent="0.3">
      <c r="A771" s="1" t="s">
        <v>2836</v>
      </c>
      <c r="B771">
        <v>770</v>
      </c>
      <c r="C771" s="1" t="s">
        <v>2837</v>
      </c>
      <c r="D771" s="1" t="s">
        <v>820</v>
      </c>
      <c r="E771" s="1" t="s">
        <v>39</v>
      </c>
      <c r="F771" s="1" t="s">
        <v>820</v>
      </c>
      <c r="G771" s="1" t="s">
        <v>820</v>
      </c>
      <c r="H771" s="1" t="s">
        <v>29</v>
      </c>
      <c r="I771" s="1" t="s">
        <v>32</v>
      </c>
      <c r="J771" s="1" t="s">
        <v>41</v>
      </c>
      <c r="K771" s="1" t="s">
        <v>1493</v>
      </c>
      <c r="L771">
        <v>1</v>
      </c>
      <c r="M771">
        <v>0</v>
      </c>
      <c r="N771">
        <v>0</v>
      </c>
      <c r="O771">
        <v>3</v>
      </c>
      <c r="P771">
        <v>1</v>
      </c>
      <c r="Q771">
        <v>0</v>
      </c>
      <c r="R771">
        <v>0</v>
      </c>
      <c r="S771">
        <v>1</v>
      </c>
      <c r="T771">
        <v>1</v>
      </c>
      <c r="U771" s="1" t="s">
        <v>1494</v>
      </c>
      <c r="V771" s="1" t="s">
        <v>144</v>
      </c>
      <c r="W771" s="1">
        <f t="shared" si="12"/>
        <v>202.26999999999899</v>
      </c>
      <c r="X771" s="1" t="s">
        <v>707</v>
      </c>
      <c r="Y771">
        <v>1</v>
      </c>
      <c r="Z771">
        <v>1</v>
      </c>
      <c r="AA771">
        <v>51</v>
      </c>
    </row>
    <row r="772" spans="1:27" x14ac:dyDescent="0.3">
      <c r="A772" s="1" t="s">
        <v>2838</v>
      </c>
      <c r="B772">
        <v>771</v>
      </c>
      <c r="C772" s="1" t="s">
        <v>2839</v>
      </c>
      <c r="D772" s="1" t="s">
        <v>940</v>
      </c>
      <c r="E772" s="1" t="s">
        <v>41</v>
      </c>
      <c r="F772" s="1" t="s">
        <v>1042</v>
      </c>
      <c r="G772" s="1" t="s">
        <v>116</v>
      </c>
      <c r="H772" s="1" t="s">
        <v>32</v>
      </c>
      <c r="I772" s="1" t="s">
        <v>32</v>
      </c>
      <c r="J772" s="1" t="s">
        <v>32</v>
      </c>
      <c r="K772" s="1" t="s">
        <v>1401</v>
      </c>
      <c r="L772">
        <v>1</v>
      </c>
      <c r="M772">
        <v>0</v>
      </c>
      <c r="N772">
        <v>0</v>
      </c>
      <c r="O772">
        <v>4</v>
      </c>
      <c r="P772">
        <v>1</v>
      </c>
      <c r="Q772">
        <v>0</v>
      </c>
      <c r="R772">
        <v>0</v>
      </c>
      <c r="S772">
        <v>1</v>
      </c>
      <c r="T772">
        <v>1</v>
      </c>
      <c r="U772" s="1" t="s">
        <v>1401</v>
      </c>
      <c r="V772" s="1" t="s">
        <v>152</v>
      </c>
      <c r="W772" s="1">
        <f t="shared" si="12"/>
        <v>63.28</v>
      </c>
      <c r="X772" s="1" t="s">
        <v>714</v>
      </c>
      <c r="Y772">
        <v>1</v>
      </c>
      <c r="Z772">
        <v>1</v>
      </c>
      <c r="AA772">
        <v>52</v>
      </c>
    </row>
    <row r="773" spans="1:27" x14ac:dyDescent="0.3">
      <c r="A773" s="1" t="s">
        <v>2840</v>
      </c>
      <c r="B773">
        <v>772</v>
      </c>
      <c r="C773" s="1" t="s">
        <v>2841</v>
      </c>
      <c r="D773" s="1" t="s">
        <v>947</v>
      </c>
      <c r="E773" s="1" t="s">
        <v>32</v>
      </c>
      <c r="F773" s="1" t="s">
        <v>1045</v>
      </c>
      <c r="G773" s="1" t="s">
        <v>833</v>
      </c>
      <c r="H773" s="1" t="s">
        <v>41</v>
      </c>
      <c r="I773" s="1" t="s">
        <v>32</v>
      </c>
      <c r="J773" s="1" t="s">
        <v>74</v>
      </c>
      <c r="K773" s="1" t="s">
        <v>719</v>
      </c>
      <c r="L773">
        <v>1</v>
      </c>
      <c r="M773">
        <v>1</v>
      </c>
      <c r="N773">
        <v>0</v>
      </c>
      <c r="O773">
        <v>5</v>
      </c>
      <c r="P773">
        <v>2</v>
      </c>
      <c r="Q773">
        <v>0</v>
      </c>
      <c r="R773">
        <v>0</v>
      </c>
      <c r="S773">
        <v>1</v>
      </c>
      <c r="T773">
        <v>1</v>
      </c>
      <c r="U773" s="1" t="s">
        <v>720</v>
      </c>
      <c r="V773" s="1" t="s">
        <v>161</v>
      </c>
      <c r="W773" s="1">
        <f t="shared" si="12"/>
        <v>66.67</v>
      </c>
      <c r="X773" s="1" t="s">
        <v>721</v>
      </c>
      <c r="Y773">
        <v>1</v>
      </c>
      <c r="Z773">
        <v>1</v>
      </c>
      <c r="AA773">
        <v>53</v>
      </c>
    </row>
    <row r="774" spans="1:27" x14ac:dyDescent="0.3">
      <c r="A774" s="1" t="s">
        <v>2842</v>
      </c>
      <c r="B774">
        <v>773</v>
      </c>
      <c r="C774" s="1" t="s">
        <v>2843</v>
      </c>
      <c r="D774" s="1" t="s">
        <v>953</v>
      </c>
      <c r="E774" s="1" t="s">
        <v>29</v>
      </c>
      <c r="F774" s="1" t="s">
        <v>132</v>
      </c>
      <c r="G774" s="1" t="s">
        <v>840</v>
      </c>
      <c r="H774" s="1" t="s">
        <v>48</v>
      </c>
      <c r="I774" s="1" t="s">
        <v>32</v>
      </c>
      <c r="J774" s="1" t="s">
        <v>29</v>
      </c>
      <c r="K774" s="1" t="s">
        <v>725</v>
      </c>
      <c r="L774">
        <v>2</v>
      </c>
      <c r="M774">
        <v>0</v>
      </c>
      <c r="N774">
        <v>0</v>
      </c>
      <c r="O774">
        <v>6</v>
      </c>
      <c r="P774">
        <v>2</v>
      </c>
      <c r="Q774">
        <v>0</v>
      </c>
      <c r="R774">
        <v>0</v>
      </c>
      <c r="S774">
        <v>1</v>
      </c>
      <c r="T774">
        <v>1</v>
      </c>
      <c r="U774" s="1" t="s">
        <v>726</v>
      </c>
      <c r="V774" s="1" t="s">
        <v>169</v>
      </c>
      <c r="W774" s="1">
        <f t="shared" si="12"/>
        <v>270.07</v>
      </c>
      <c r="X774" s="1" t="s">
        <v>727</v>
      </c>
      <c r="Y774">
        <v>1</v>
      </c>
      <c r="Z774">
        <v>1</v>
      </c>
      <c r="AA774">
        <v>54</v>
      </c>
    </row>
    <row r="775" spans="1:27" x14ac:dyDescent="0.3">
      <c r="A775" s="1" t="s">
        <v>2844</v>
      </c>
      <c r="B775">
        <v>774</v>
      </c>
      <c r="C775" s="1" t="s">
        <v>2845</v>
      </c>
      <c r="D775" s="1" t="s">
        <v>958</v>
      </c>
      <c r="E775" s="1" t="s">
        <v>39</v>
      </c>
      <c r="F775" s="1" t="s">
        <v>1053</v>
      </c>
      <c r="G775" s="1" t="s">
        <v>844</v>
      </c>
      <c r="H775" s="1" t="s">
        <v>55</v>
      </c>
      <c r="I775" s="1" t="s">
        <v>32</v>
      </c>
      <c r="J775" s="1" t="s">
        <v>75</v>
      </c>
      <c r="K775" s="1" t="s">
        <v>798</v>
      </c>
      <c r="L775">
        <v>2</v>
      </c>
      <c r="M775">
        <v>2</v>
      </c>
      <c r="N775">
        <v>0</v>
      </c>
      <c r="O775">
        <v>1</v>
      </c>
      <c r="P775">
        <v>4</v>
      </c>
      <c r="Q775">
        <v>0</v>
      </c>
      <c r="R775">
        <v>0</v>
      </c>
      <c r="S775">
        <v>1</v>
      </c>
      <c r="T775">
        <v>1</v>
      </c>
      <c r="U775" s="1" t="s">
        <v>798</v>
      </c>
      <c r="V775" s="1" t="s">
        <v>177</v>
      </c>
      <c r="W775" s="1">
        <f t="shared" si="12"/>
        <v>61.02</v>
      </c>
      <c r="X775" s="1" t="s">
        <v>799</v>
      </c>
      <c r="Y775">
        <v>1</v>
      </c>
      <c r="Z775">
        <v>1</v>
      </c>
      <c r="AA775">
        <v>55</v>
      </c>
    </row>
    <row r="776" spans="1:27" x14ac:dyDescent="0.3">
      <c r="A776" s="1" t="s">
        <v>2846</v>
      </c>
      <c r="B776">
        <v>775</v>
      </c>
      <c r="C776" s="1" t="s">
        <v>2847</v>
      </c>
      <c r="D776" s="1" t="s">
        <v>851</v>
      </c>
      <c r="E776" s="1" t="s">
        <v>41</v>
      </c>
      <c r="F776" s="1" t="s">
        <v>851</v>
      </c>
      <c r="G776" s="1" t="s">
        <v>851</v>
      </c>
      <c r="H776" s="1" t="s">
        <v>63</v>
      </c>
      <c r="I776" s="1" t="s">
        <v>32</v>
      </c>
      <c r="J776" s="1" t="s">
        <v>41</v>
      </c>
      <c r="K776" s="1" t="s">
        <v>2848</v>
      </c>
      <c r="L776">
        <v>2</v>
      </c>
      <c r="M776">
        <v>0</v>
      </c>
      <c r="N776">
        <v>0</v>
      </c>
      <c r="O776">
        <v>2</v>
      </c>
      <c r="P776">
        <v>2</v>
      </c>
      <c r="Q776">
        <v>0</v>
      </c>
      <c r="R776">
        <v>0</v>
      </c>
      <c r="S776">
        <v>1</v>
      </c>
      <c r="T776">
        <v>1</v>
      </c>
      <c r="U776" s="1" t="s">
        <v>2849</v>
      </c>
      <c r="V776" s="1" t="s">
        <v>184</v>
      </c>
      <c r="W776" s="1">
        <f t="shared" si="12"/>
        <v>265.77999999999997</v>
      </c>
      <c r="X776" s="1" t="s">
        <v>2850</v>
      </c>
      <c r="Y776">
        <v>1</v>
      </c>
      <c r="Z776">
        <v>1</v>
      </c>
      <c r="AA776">
        <v>56</v>
      </c>
    </row>
    <row r="777" spans="1:27" x14ac:dyDescent="0.3">
      <c r="A777" s="1" t="s">
        <v>2851</v>
      </c>
      <c r="B777">
        <v>776</v>
      </c>
      <c r="C777" s="1" t="s">
        <v>2852</v>
      </c>
      <c r="D777" s="1" t="s">
        <v>970</v>
      </c>
      <c r="E777" s="1" t="s">
        <v>32</v>
      </c>
      <c r="F777" s="1" t="s">
        <v>158</v>
      </c>
      <c r="G777" s="1" t="s">
        <v>858</v>
      </c>
      <c r="H777" s="1" t="s">
        <v>74</v>
      </c>
      <c r="I777" s="1" t="s">
        <v>32</v>
      </c>
      <c r="J777" s="1" t="s">
        <v>32</v>
      </c>
      <c r="K777" s="1" t="s">
        <v>1421</v>
      </c>
      <c r="L777">
        <v>3</v>
      </c>
      <c r="M777">
        <v>1</v>
      </c>
      <c r="N777">
        <v>0</v>
      </c>
      <c r="O777">
        <v>3</v>
      </c>
      <c r="P777">
        <v>4</v>
      </c>
      <c r="Q777">
        <v>0</v>
      </c>
      <c r="R777">
        <v>0</v>
      </c>
      <c r="S777">
        <v>1</v>
      </c>
      <c r="T777">
        <v>1</v>
      </c>
      <c r="U777" s="1" t="s">
        <v>1422</v>
      </c>
      <c r="V777" s="1" t="s">
        <v>192</v>
      </c>
      <c r="W777" s="1">
        <f t="shared" si="12"/>
        <v>220.58</v>
      </c>
      <c r="X777" s="1" t="s">
        <v>663</v>
      </c>
      <c r="Y777">
        <v>1</v>
      </c>
      <c r="Z777">
        <v>1</v>
      </c>
      <c r="AA777">
        <v>57</v>
      </c>
    </row>
    <row r="778" spans="1:27" x14ac:dyDescent="0.3">
      <c r="A778" s="1" t="s">
        <v>2853</v>
      </c>
      <c r="B778">
        <v>777</v>
      </c>
      <c r="C778" s="1" t="s">
        <v>2854</v>
      </c>
      <c r="D778" s="1" t="s">
        <v>862</v>
      </c>
      <c r="E778" s="1" t="s">
        <v>29</v>
      </c>
      <c r="F778" s="1" t="s">
        <v>862</v>
      </c>
      <c r="G778" s="1" t="s">
        <v>862</v>
      </c>
      <c r="H778" s="1" t="s">
        <v>29</v>
      </c>
      <c r="I778" s="1" t="s">
        <v>32</v>
      </c>
      <c r="J778" s="1" t="s">
        <v>74</v>
      </c>
      <c r="K778" s="1" t="s">
        <v>815</v>
      </c>
      <c r="L778">
        <v>3</v>
      </c>
      <c r="M778">
        <v>0</v>
      </c>
      <c r="N778">
        <v>0</v>
      </c>
      <c r="O778">
        <v>4</v>
      </c>
      <c r="P778">
        <v>3</v>
      </c>
      <c r="Q778">
        <v>0</v>
      </c>
      <c r="R778">
        <v>0</v>
      </c>
      <c r="S778">
        <v>1</v>
      </c>
      <c r="T778">
        <v>1</v>
      </c>
      <c r="U778" s="1" t="s">
        <v>815</v>
      </c>
      <c r="V778" s="1" t="s">
        <v>104</v>
      </c>
      <c r="W778" s="1">
        <f t="shared" si="12"/>
        <v>76.84</v>
      </c>
      <c r="X778" s="1" t="s">
        <v>816</v>
      </c>
      <c r="Y778">
        <v>1</v>
      </c>
      <c r="Z778">
        <v>1</v>
      </c>
      <c r="AA778">
        <v>58</v>
      </c>
    </row>
    <row r="779" spans="1:27" x14ac:dyDescent="0.3">
      <c r="A779" s="1" t="s">
        <v>2855</v>
      </c>
      <c r="B779">
        <v>778</v>
      </c>
      <c r="C779" s="1" t="s">
        <v>2856</v>
      </c>
      <c r="D779" s="1" t="s">
        <v>868</v>
      </c>
      <c r="E779" s="1" t="s">
        <v>39</v>
      </c>
      <c r="F779" s="1" t="s">
        <v>868</v>
      </c>
      <c r="G779" s="1" t="s">
        <v>868</v>
      </c>
      <c r="H779" s="1" t="s">
        <v>32</v>
      </c>
      <c r="I779" s="1" t="s">
        <v>32</v>
      </c>
      <c r="J779" s="1" t="s">
        <v>29</v>
      </c>
      <c r="K779" s="1" t="s">
        <v>1428</v>
      </c>
      <c r="L779">
        <v>3</v>
      </c>
      <c r="M779">
        <v>0</v>
      </c>
      <c r="N779">
        <v>0</v>
      </c>
      <c r="O779">
        <v>5</v>
      </c>
      <c r="P779">
        <v>3</v>
      </c>
      <c r="Q779">
        <v>0</v>
      </c>
      <c r="R779">
        <v>0</v>
      </c>
      <c r="S779">
        <v>1</v>
      </c>
      <c r="T779">
        <v>1</v>
      </c>
      <c r="U779" s="1" t="s">
        <v>1429</v>
      </c>
      <c r="V779" s="1" t="s">
        <v>111</v>
      </c>
      <c r="W779" s="1">
        <f t="shared" si="12"/>
        <v>80.229999999999905</v>
      </c>
      <c r="X779" s="1" t="s">
        <v>677</v>
      </c>
      <c r="Y779">
        <v>1</v>
      </c>
      <c r="Z779">
        <v>1</v>
      </c>
      <c r="AA779">
        <v>59</v>
      </c>
    </row>
    <row r="780" spans="1:27" x14ac:dyDescent="0.3">
      <c r="A780" s="1" t="s">
        <v>2857</v>
      </c>
      <c r="B780">
        <v>779</v>
      </c>
      <c r="C780" s="1" t="s">
        <v>2858</v>
      </c>
      <c r="D780" s="1" t="s">
        <v>986</v>
      </c>
      <c r="E780" s="1" t="s">
        <v>41</v>
      </c>
      <c r="F780" s="1" t="s">
        <v>1072</v>
      </c>
      <c r="G780" s="1" t="s">
        <v>873</v>
      </c>
      <c r="H780" s="1" t="s">
        <v>41</v>
      </c>
      <c r="I780" s="1" t="s">
        <v>32</v>
      </c>
      <c r="J780" s="1" t="s">
        <v>75</v>
      </c>
      <c r="K780" s="1" t="s">
        <v>683</v>
      </c>
      <c r="L780">
        <v>3</v>
      </c>
      <c r="M780">
        <v>0</v>
      </c>
      <c r="N780">
        <v>0</v>
      </c>
      <c r="O780">
        <v>6</v>
      </c>
      <c r="P780">
        <v>3</v>
      </c>
      <c r="Q780">
        <v>0</v>
      </c>
      <c r="R780">
        <v>0</v>
      </c>
      <c r="S780">
        <v>1</v>
      </c>
      <c r="T780">
        <v>1</v>
      </c>
      <c r="U780" s="1" t="s">
        <v>684</v>
      </c>
      <c r="V780" s="1" t="s">
        <v>169</v>
      </c>
      <c r="W780" s="1">
        <f t="shared" si="12"/>
        <v>270.07</v>
      </c>
      <c r="X780" s="1" t="s">
        <v>685</v>
      </c>
      <c r="Y780">
        <v>1</v>
      </c>
      <c r="Z780">
        <v>1</v>
      </c>
      <c r="AA780">
        <v>60</v>
      </c>
    </row>
    <row r="781" spans="1:27" x14ac:dyDescent="0.3">
      <c r="A781" s="1" t="s">
        <v>2859</v>
      </c>
      <c r="B781">
        <v>780</v>
      </c>
      <c r="C781" s="1" t="s">
        <v>2860</v>
      </c>
      <c r="D781" s="1" t="s">
        <v>990</v>
      </c>
      <c r="E781" s="1" t="s">
        <v>32</v>
      </c>
      <c r="F781" s="1" t="s">
        <v>189</v>
      </c>
      <c r="G781" s="1" t="s">
        <v>880</v>
      </c>
      <c r="H781" s="1" t="s">
        <v>48</v>
      </c>
      <c r="I781" s="1" t="s">
        <v>32</v>
      </c>
      <c r="J781" s="1" t="s">
        <v>41</v>
      </c>
      <c r="K781" s="1" t="s">
        <v>764</v>
      </c>
      <c r="L781">
        <v>1</v>
      </c>
      <c r="M781">
        <v>2</v>
      </c>
      <c r="N781">
        <v>1</v>
      </c>
      <c r="O781">
        <v>1</v>
      </c>
      <c r="P781">
        <v>4</v>
      </c>
      <c r="Q781">
        <v>0</v>
      </c>
      <c r="R781">
        <v>0</v>
      </c>
      <c r="S781">
        <v>1</v>
      </c>
      <c r="T781">
        <v>1</v>
      </c>
      <c r="U781" s="1" t="s">
        <v>764</v>
      </c>
      <c r="V781" s="1" t="s">
        <v>127</v>
      </c>
      <c r="W781" s="1">
        <f t="shared" si="12"/>
        <v>47.46</v>
      </c>
      <c r="X781" s="1" t="s">
        <v>765</v>
      </c>
      <c r="Y781">
        <v>1</v>
      </c>
      <c r="Z781">
        <v>1</v>
      </c>
      <c r="AA781">
        <v>61</v>
      </c>
    </row>
    <row r="782" spans="1:27" x14ac:dyDescent="0.3">
      <c r="A782" s="1" t="s">
        <v>2861</v>
      </c>
      <c r="B782">
        <v>781</v>
      </c>
      <c r="C782" s="1" t="s">
        <v>2862</v>
      </c>
      <c r="D782" s="1" t="s">
        <v>887</v>
      </c>
      <c r="E782" s="1" t="s">
        <v>29</v>
      </c>
      <c r="F782" s="1" t="s">
        <v>887</v>
      </c>
      <c r="G782" s="1" t="s">
        <v>887</v>
      </c>
      <c r="H782" s="1" t="s">
        <v>55</v>
      </c>
      <c r="I782" s="1" t="s">
        <v>33</v>
      </c>
      <c r="J782" s="1" t="s">
        <v>33</v>
      </c>
      <c r="K782" s="1" t="s">
        <v>34</v>
      </c>
      <c r="L782">
        <v>1</v>
      </c>
      <c r="M782">
        <v>0</v>
      </c>
      <c r="N782">
        <v>0</v>
      </c>
      <c r="O782">
        <v>2</v>
      </c>
      <c r="P782">
        <v>1</v>
      </c>
      <c r="Q782">
        <v>1</v>
      </c>
      <c r="R782">
        <v>0</v>
      </c>
      <c r="S782">
        <v>0</v>
      </c>
      <c r="T782">
        <v>0</v>
      </c>
      <c r="U782" s="1" t="s">
        <v>1535</v>
      </c>
      <c r="V782" s="1">
        <v>0</v>
      </c>
      <c r="W782" s="1">
        <f t="shared" si="12"/>
        <v>0</v>
      </c>
      <c r="X782" s="1" t="s">
        <v>1535</v>
      </c>
      <c r="Y782">
        <v>1</v>
      </c>
      <c r="Z782">
        <v>0</v>
      </c>
      <c r="AA782">
        <v>62</v>
      </c>
    </row>
    <row r="783" spans="1:27" x14ac:dyDescent="0.3">
      <c r="A783" s="1" t="s">
        <v>2863</v>
      </c>
      <c r="B783">
        <v>782</v>
      </c>
      <c r="C783" s="1" t="s">
        <v>2864</v>
      </c>
      <c r="D783" s="1" t="s">
        <v>999</v>
      </c>
      <c r="E783" s="1" t="s">
        <v>39</v>
      </c>
      <c r="F783" s="1" t="s">
        <v>1081</v>
      </c>
      <c r="G783" s="1" t="s">
        <v>891</v>
      </c>
      <c r="H783" s="1" t="s">
        <v>63</v>
      </c>
      <c r="I783" s="1" t="s">
        <v>33</v>
      </c>
      <c r="J783" s="1" t="s">
        <v>33</v>
      </c>
      <c r="K783" s="1" t="s">
        <v>34</v>
      </c>
      <c r="L783">
        <v>1</v>
      </c>
      <c r="M783">
        <v>0</v>
      </c>
      <c r="N783">
        <v>0</v>
      </c>
      <c r="O783">
        <v>3</v>
      </c>
      <c r="P783">
        <v>1</v>
      </c>
      <c r="Q783">
        <v>1</v>
      </c>
      <c r="R783">
        <v>0</v>
      </c>
      <c r="S783">
        <v>0</v>
      </c>
      <c r="T783">
        <v>0</v>
      </c>
      <c r="U783" s="1">
        <v>678</v>
      </c>
      <c r="V783" s="1">
        <v>0</v>
      </c>
      <c r="W783" s="1">
        <f t="shared" si="12"/>
        <v>0</v>
      </c>
      <c r="X783" s="1">
        <v>678</v>
      </c>
      <c r="Y783">
        <v>1</v>
      </c>
      <c r="Z783">
        <v>0</v>
      </c>
      <c r="AA783">
        <v>63</v>
      </c>
    </row>
    <row r="784" spans="1:27" x14ac:dyDescent="0.3">
      <c r="A784" s="1" t="s">
        <v>2865</v>
      </c>
      <c r="B784">
        <v>783</v>
      </c>
      <c r="C784" s="1" t="s">
        <v>2866</v>
      </c>
      <c r="D784" s="1" t="s">
        <v>47</v>
      </c>
      <c r="E784" s="1" t="s">
        <v>41</v>
      </c>
      <c r="F784" s="1" t="s">
        <v>1085</v>
      </c>
      <c r="G784" s="1" t="s">
        <v>894</v>
      </c>
      <c r="H784" s="1" t="s">
        <v>74</v>
      </c>
      <c r="I784" s="1" t="s">
        <v>33</v>
      </c>
      <c r="J784" s="1" t="s">
        <v>33</v>
      </c>
      <c r="K784" s="1" t="s">
        <v>34</v>
      </c>
      <c r="L784">
        <v>2</v>
      </c>
      <c r="M784">
        <v>0</v>
      </c>
      <c r="N784">
        <v>0</v>
      </c>
      <c r="O784">
        <v>4</v>
      </c>
      <c r="P784">
        <v>2</v>
      </c>
      <c r="Q784">
        <v>1</v>
      </c>
      <c r="R784">
        <v>0</v>
      </c>
      <c r="S784">
        <v>0</v>
      </c>
      <c r="T784">
        <v>0</v>
      </c>
      <c r="U784" s="1" t="s">
        <v>2544</v>
      </c>
      <c r="V784" s="1">
        <v>0</v>
      </c>
      <c r="W784" s="1">
        <f t="shared" si="12"/>
        <v>0</v>
      </c>
      <c r="X784" s="1" t="s">
        <v>2544</v>
      </c>
      <c r="Y784">
        <v>1</v>
      </c>
      <c r="Z784">
        <v>0</v>
      </c>
      <c r="AA784">
        <v>64</v>
      </c>
    </row>
    <row r="785" spans="1:27" x14ac:dyDescent="0.3">
      <c r="A785" s="1" t="s">
        <v>2867</v>
      </c>
      <c r="B785">
        <v>784</v>
      </c>
      <c r="C785" s="1" t="s">
        <v>2868</v>
      </c>
      <c r="D785" s="1" t="s">
        <v>1007</v>
      </c>
      <c r="E785" s="1" t="s">
        <v>32</v>
      </c>
      <c r="F785" s="1" t="s">
        <v>1089</v>
      </c>
      <c r="G785" s="1" t="s">
        <v>52</v>
      </c>
      <c r="H785" s="1" t="s">
        <v>29</v>
      </c>
      <c r="I785" s="1" t="s">
        <v>56</v>
      </c>
      <c r="J785" s="1" t="s">
        <v>33</v>
      </c>
      <c r="K785" s="1" t="s">
        <v>34</v>
      </c>
      <c r="L785">
        <v>2</v>
      </c>
      <c r="M785">
        <v>1</v>
      </c>
      <c r="N785">
        <v>0</v>
      </c>
      <c r="O785">
        <v>5</v>
      </c>
      <c r="P785">
        <v>3</v>
      </c>
      <c r="Q785">
        <v>0</v>
      </c>
      <c r="R785">
        <v>1</v>
      </c>
      <c r="S785">
        <v>0</v>
      </c>
      <c r="T785">
        <v>0</v>
      </c>
      <c r="U785" s="1">
        <v>1243</v>
      </c>
      <c r="V785" s="1">
        <v>0</v>
      </c>
      <c r="W785" s="1">
        <f t="shared" si="12"/>
        <v>0</v>
      </c>
      <c r="X785" s="1">
        <v>1243</v>
      </c>
      <c r="Y785">
        <v>1</v>
      </c>
      <c r="Z785">
        <v>0</v>
      </c>
      <c r="AA785">
        <v>65</v>
      </c>
    </row>
    <row r="786" spans="1:27" x14ac:dyDescent="0.3">
      <c r="A786" s="1" t="s">
        <v>2869</v>
      </c>
      <c r="B786">
        <v>785</v>
      </c>
      <c r="C786" s="1" t="s">
        <v>2870</v>
      </c>
      <c r="D786" s="1" t="s">
        <v>1011</v>
      </c>
      <c r="E786" s="1" t="s">
        <v>29</v>
      </c>
      <c r="F786" s="1" t="s">
        <v>1011</v>
      </c>
      <c r="G786" s="1" t="s">
        <v>61</v>
      </c>
      <c r="H786" s="1" t="s">
        <v>32</v>
      </c>
      <c r="I786" s="1" t="s">
        <v>64</v>
      </c>
      <c r="J786" s="1" t="s">
        <v>74</v>
      </c>
      <c r="K786" s="1" t="s">
        <v>1545</v>
      </c>
      <c r="L786">
        <v>2</v>
      </c>
      <c r="M786">
        <v>0</v>
      </c>
      <c r="N786">
        <v>0</v>
      </c>
      <c r="O786">
        <v>6</v>
      </c>
      <c r="P786">
        <v>2</v>
      </c>
      <c r="Q786">
        <v>0</v>
      </c>
      <c r="R786">
        <v>0</v>
      </c>
      <c r="S786">
        <v>0</v>
      </c>
      <c r="T786">
        <v>0</v>
      </c>
      <c r="U786" s="1" t="s">
        <v>1546</v>
      </c>
      <c r="V786" s="1" t="s">
        <v>67</v>
      </c>
      <c r="W786" s="1">
        <f t="shared" si="12"/>
        <v>22.6</v>
      </c>
      <c r="X786" s="1" t="s">
        <v>1547</v>
      </c>
      <c r="Y786">
        <v>1</v>
      </c>
      <c r="Z786">
        <v>0</v>
      </c>
      <c r="AA786">
        <v>66</v>
      </c>
    </row>
    <row r="787" spans="1:27" x14ac:dyDescent="0.3">
      <c r="A787" s="1" t="s">
        <v>2871</v>
      </c>
      <c r="B787">
        <v>786</v>
      </c>
      <c r="C787" s="1" t="s">
        <v>2872</v>
      </c>
      <c r="D787" s="1" t="s">
        <v>1018</v>
      </c>
      <c r="E787" s="1" t="s">
        <v>39</v>
      </c>
      <c r="F787" s="1" t="s">
        <v>223</v>
      </c>
      <c r="G787" s="1" t="s">
        <v>71</v>
      </c>
      <c r="H787" s="1" t="s">
        <v>41</v>
      </c>
      <c r="I787" s="1" t="s">
        <v>64</v>
      </c>
      <c r="J787" s="1" t="s">
        <v>29</v>
      </c>
      <c r="K787" s="1" t="s">
        <v>2873</v>
      </c>
      <c r="L787">
        <v>3</v>
      </c>
      <c r="M787">
        <v>2</v>
      </c>
      <c r="N787">
        <v>0</v>
      </c>
      <c r="O787">
        <v>1</v>
      </c>
      <c r="P787">
        <v>5</v>
      </c>
      <c r="Q787">
        <v>0</v>
      </c>
      <c r="R787">
        <v>0</v>
      </c>
      <c r="S787">
        <v>0</v>
      </c>
      <c r="T787">
        <v>0</v>
      </c>
      <c r="U787" s="1" t="s">
        <v>1600</v>
      </c>
      <c r="V787" s="1" t="s">
        <v>177</v>
      </c>
      <c r="W787" s="1">
        <f t="shared" si="12"/>
        <v>61.02</v>
      </c>
      <c r="X787" s="1" t="s">
        <v>1601</v>
      </c>
      <c r="Y787">
        <v>1</v>
      </c>
      <c r="Z787">
        <v>0</v>
      </c>
      <c r="AA787">
        <v>67</v>
      </c>
    </row>
    <row r="788" spans="1:27" x14ac:dyDescent="0.3">
      <c r="A788" s="1" t="s">
        <v>2874</v>
      </c>
      <c r="B788">
        <v>787</v>
      </c>
      <c r="C788" s="1" t="s">
        <v>2875</v>
      </c>
      <c r="D788" s="1" t="s">
        <v>1023</v>
      </c>
      <c r="E788" s="1" t="s">
        <v>41</v>
      </c>
      <c r="F788" s="1" t="s">
        <v>84</v>
      </c>
      <c r="G788" s="1" t="s">
        <v>83</v>
      </c>
      <c r="H788" s="1" t="s">
        <v>48</v>
      </c>
      <c r="I788" s="1" t="s">
        <v>32</v>
      </c>
      <c r="J788" s="1" t="s">
        <v>29</v>
      </c>
      <c r="K788" s="1" t="s">
        <v>942</v>
      </c>
      <c r="L788">
        <v>3</v>
      </c>
      <c r="M788">
        <v>0</v>
      </c>
      <c r="N788">
        <v>0</v>
      </c>
      <c r="O788">
        <v>2</v>
      </c>
      <c r="P788">
        <v>3</v>
      </c>
      <c r="Q788">
        <v>0</v>
      </c>
      <c r="R788">
        <v>0</v>
      </c>
      <c r="S788">
        <v>1</v>
      </c>
      <c r="T788">
        <v>1</v>
      </c>
      <c r="U788" s="1" t="s">
        <v>943</v>
      </c>
      <c r="V788" s="1" t="s">
        <v>87</v>
      </c>
      <c r="W788" s="1">
        <f t="shared" si="12"/>
        <v>274.58999999999997</v>
      </c>
      <c r="X788" s="1" t="s">
        <v>944</v>
      </c>
      <c r="Y788">
        <v>1</v>
      </c>
      <c r="Z788">
        <v>1</v>
      </c>
      <c r="AA788">
        <v>68</v>
      </c>
    </row>
    <row r="789" spans="1:27" x14ac:dyDescent="0.3">
      <c r="A789" s="1" t="s">
        <v>2876</v>
      </c>
      <c r="B789">
        <v>788</v>
      </c>
      <c r="C789" s="1" t="s">
        <v>2877</v>
      </c>
      <c r="D789" s="1" t="s">
        <v>1030</v>
      </c>
      <c r="E789" s="1" t="s">
        <v>32</v>
      </c>
      <c r="F789" s="1" t="s">
        <v>93</v>
      </c>
      <c r="G789" s="1" t="s">
        <v>923</v>
      </c>
      <c r="H789" s="1" t="s">
        <v>55</v>
      </c>
      <c r="I789" s="1" t="s">
        <v>32</v>
      </c>
      <c r="J789" s="1" t="s">
        <v>75</v>
      </c>
      <c r="K789" s="1" t="s">
        <v>2878</v>
      </c>
      <c r="L789">
        <v>3</v>
      </c>
      <c r="M789">
        <v>1</v>
      </c>
      <c r="N789">
        <v>0</v>
      </c>
      <c r="O789">
        <v>3</v>
      </c>
      <c r="P789">
        <v>4</v>
      </c>
      <c r="Q789">
        <v>0</v>
      </c>
      <c r="R789">
        <v>0</v>
      </c>
      <c r="S789">
        <v>1</v>
      </c>
      <c r="T789">
        <v>1</v>
      </c>
      <c r="U789" s="1" t="s">
        <v>2879</v>
      </c>
      <c r="V789" s="1" t="s">
        <v>257</v>
      </c>
      <c r="W789" s="1">
        <f t="shared" si="12"/>
        <v>222.95</v>
      </c>
      <c r="X789" s="1" t="s">
        <v>950</v>
      </c>
      <c r="Y789">
        <v>1</v>
      </c>
      <c r="Z789">
        <v>1</v>
      </c>
      <c r="AA789">
        <v>69</v>
      </c>
    </row>
    <row r="790" spans="1:27" x14ac:dyDescent="0.3">
      <c r="A790" s="1" t="s">
        <v>2880</v>
      </c>
      <c r="B790">
        <v>789</v>
      </c>
      <c r="C790" s="1" t="s">
        <v>2881</v>
      </c>
      <c r="D790" s="1" t="s">
        <v>1033</v>
      </c>
      <c r="E790" s="1" t="s">
        <v>29</v>
      </c>
      <c r="F790" s="1" t="s">
        <v>242</v>
      </c>
      <c r="G790" s="1" t="s">
        <v>929</v>
      </c>
      <c r="H790" s="1" t="s">
        <v>63</v>
      </c>
      <c r="I790" s="1" t="s">
        <v>32</v>
      </c>
      <c r="J790" s="1" t="s">
        <v>41</v>
      </c>
      <c r="K790" s="1" t="s">
        <v>1565</v>
      </c>
      <c r="L790">
        <v>3</v>
      </c>
      <c r="M790">
        <v>0</v>
      </c>
      <c r="N790">
        <v>0</v>
      </c>
      <c r="O790">
        <v>4</v>
      </c>
      <c r="P790">
        <v>3</v>
      </c>
      <c r="Q790">
        <v>0</v>
      </c>
      <c r="R790">
        <v>0</v>
      </c>
      <c r="S790">
        <v>1</v>
      </c>
      <c r="T790">
        <v>1</v>
      </c>
      <c r="U790" s="1" t="s">
        <v>1565</v>
      </c>
      <c r="V790" s="1" t="s">
        <v>104</v>
      </c>
      <c r="W790" s="1">
        <f t="shared" si="12"/>
        <v>76.84</v>
      </c>
      <c r="X790" s="1" t="s">
        <v>888</v>
      </c>
      <c r="Y790">
        <v>1</v>
      </c>
      <c r="Z790">
        <v>1</v>
      </c>
      <c r="AA790">
        <v>70</v>
      </c>
    </row>
    <row r="791" spans="1:27" x14ac:dyDescent="0.3">
      <c r="A791" s="1" t="s">
        <v>2882</v>
      </c>
      <c r="B791">
        <v>790</v>
      </c>
      <c r="C791" s="1" t="s">
        <v>2883</v>
      </c>
      <c r="D791" s="1" t="s">
        <v>1036</v>
      </c>
      <c r="E791" s="1" t="s">
        <v>39</v>
      </c>
      <c r="F791" s="1" t="s">
        <v>1111</v>
      </c>
      <c r="G791" s="1" t="s">
        <v>935</v>
      </c>
      <c r="H791" s="1" t="s">
        <v>74</v>
      </c>
      <c r="I791" s="1" t="s">
        <v>32</v>
      </c>
      <c r="J791" s="1" t="s">
        <v>32</v>
      </c>
      <c r="K791" s="1" t="s">
        <v>2884</v>
      </c>
      <c r="L791">
        <v>1</v>
      </c>
      <c r="M791">
        <v>0</v>
      </c>
      <c r="N791">
        <v>0</v>
      </c>
      <c r="O791">
        <v>5</v>
      </c>
      <c r="P791">
        <v>1</v>
      </c>
      <c r="Q791">
        <v>0</v>
      </c>
      <c r="R791">
        <v>0</v>
      </c>
      <c r="S791">
        <v>1</v>
      </c>
      <c r="T791">
        <v>1</v>
      </c>
      <c r="U791" s="1" t="s">
        <v>2885</v>
      </c>
      <c r="V791" s="1" t="s">
        <v>270</v>
      </c>
      <c r="W791" s="1">
        <f t="shared" si="12"/>
        <v>73.789999999999907</v>
      </c>
      <c r="X791" s="1" t="s">
        <v>1571</v>
      </c>
      <c r="Y791">
        <v>1</v>
      </c>
      <c r="Z791">
        <v>1</v>
      </c>
      <c r="AA791">
        <v>71</v>
      </c>
    </row>
    <row r="792" spans="1:27" x14ac:dyDescent="0.3">
      <c r="A792" s="1" t="s">
        <v>2886</v>
      </c>
      <c r="B792">
        <v>791</v>
      </c>
      <c r="C792" s="1" t="s">
        <v>2887</v>
      </c>
      <c r="D792" s="1" t="s">
        <v>941</v>
      </c>
      <c r="E792" s="1" t="s">
        <v>41</v>
      </c>
      <c r="F792" s="1" t="s">
        <v>941</v>
      </c>
      <c r="G792" s="1" t="s">
        <v>941</v>
      </c>
      <c r="H792" s="1" t="s">
        <v>29</v>
      </c>
      <c r="I792" s="1" t="s">
        <v>32</v>
      </c>
      <c r="J792" s="1" t="s">
        <v>74</v>
      </c>
      <c r="K792" s="1" t="s">
        <v>1575</v>
      </c>
      <c r="L792">
        <v>1</v>
      </c>
      <c r="M792">
        <v>0</v>
      </c>
      <c r="N792">
        <v>0</v>
      </c>
      <c r="O792">
        <v>6</v>
      </c>
      <c r="P792">
        <v>1</v>
      </c>
      <c r="Q792">
        <v>0</v>
      </c>
      <c r="R792">
        <v>0</v>
      </c>
      <c r="S792">
        <v>1</v>
      </c>
      <c r="T792">
        <v>1</v>
      </c>
      <c r="U792" s="1" t="s">
        <v>1576</v>
      </c>
      <c r="V792" s="1" t="s">
        <v>169</v>
      </c>
      <c r="W792" s="1">
        <f t="shared" si="12"/>
        <v>270.07</v>
      </c>
      <c r="X792" s="1" t="s">
        <v>895</v>
      </c>
      <c r="Y792">
        <v>1</v>
      </c>
      <c r="Z792">
        <v>1</v>
      </c>
      <c r="AA792">
        <v>72</v>
      </c>
    </row>
    <row r="793" spans="1:27" x14ac:dyDescent="0.3">
      <c r="A793" s="1" t="s">
        <v>2888</v>
      </c>
      <c r="B793">
        <v>792</v>
      </c>
      <c r="C793" s="1" t="s">
        <v>2889</v>
      </c>
      <c r="D793" s="1" t="s">
        <v>1045</v>
      </c>
      <c r="E793" s="1" t="s">
        <v>32</v>
      </c>
      <c r="F793" s="1" t="s">
        <v>1120</v>
      </c>
      <c r="G793" s="1" t="s">
        <v>124</v>
      </c>
      <c r="H793" s="1" t="s">
        <v>32</v>
      </c>
      <c r="I793" s="1" t="s">
        <v>32</v>
      </c>
      <c r="J793" s="1" t="s">
        <v>29</v>
      </c>
      <c r="K793" s="1" t="s">
        <v>198</v>
      </c>
      <c r="L793">
        <v>1</v>
      </c>
      <c r="M793">
        <v>2</v>
      </c>
      <c r="N793">
        <v>1</v>
      </c>
      <c r="O793">
        <v>1</v>
      </c>
      <c r="P793">
        <v>4</v>
      </c>
      <c r="Q793">
        <v>0</v>
      </c>
      <c r="R793">
        <v>0</v>
      </c>
      <c r="S793">
        <v>1</v>
      </c>
      <c r="T793">
        <v>1</v>
      </c>
      <c r="U793" s="1" t="s">
        <v>198</v>
      </c>
      <c r="V793" s="1" t="s">
        <v>127</v>
      </c>
      <c r="W793" s="1">
        <f t="shared" si="12"/>
        <v>47.46</v>
      </c>
      <c r="X793" s="1" t="s">
        <v>2053</v>
      </c>
      <c r="Y793">
        <v>1</v>
      </c>
      <c r="Z793">
        <v>1</v>
      </c>
      <c r="AA793">
        <v>73</v>
      </c>
    </row>
    <row r="794" spans="1:27" x14ac:dyDescent="0.3">
      <c r="A794" s="1" t="s">
        <v>2890</v>
      </c>
      <c r="B794">
        <v>793</v>
      </c>
      <c r="C794" s="1" t="s">
        <v>2891</v>
      </c>
      <c r="D794" s="1" t="s">
        <v>132</v>
      </c>
      <c r="E794" s="1" t="s">
        <v>29</v>
      </c>
      <c r="F794" s="1" t="s">
        <v>1124</v>
      </c>
      <c r="G794" s="1" t="s">
        <v>953</v>
      </c>
      <c r="H794" s="1" t="s">
        <v>41</v>
      </c>
      <c r="I794" s="1" t="s">
        <v>32</v>
      </c>
      <c r="J794" s="1" t="s">
        <v>75</v>
      </c>
      <c r="K794" s="1" t="s">
        <v>977</v>
      </c>
      <c r="L794">
        <v>2</v>
      </c>
      <c r="M794">
        <v>0</v>
      </c>
      <c r="N794">
        <v>0</v>
      </c>
      <c r="O794">
        <v>2</v>
      </c>
      <c r="P794">
        <v>2</v>
      </c>
      <c r="Q794">
        <v>0</v>
      </c>
      <c r="R794">
        <v>0</v>
      </c>
      <c r="S794">
        <v>1</v>
      </c>
      <c r="T794">
        <v>1</v>
      </c>
      <c r="U794" s="1" t="s">
        <v>978</v>
      </c>
      <c r="V794" s="1" t="s">
        <v>288</v>
      </c>
      <c r="W794" s="1">
        <f t="shared" si="12"/>
        <v>301.70999999999998</v>
      </c>
      <c r="X794" s="1" t="s">
        <v>979</v>
      </c>
      <c r="Y794">
        <v>1</v>
      </c>
      <c r="Z794">
        <v>1</v>
      </c>
      <c r="AA794">
        <v>74</v>
      </c>
    </row>
    <row r="795" spans="1:27" x14ac:dyDescent="0.3">
      <c r="A795" s="1" t="s">
        <v>2892</v>
      </c>
      <c r="B795">
        <v>794</v>
      </c>
      <c r="C795" s="1" t="s">
        <v>2893</v>
      </c>
      <c r="D795" s="1" t="s">
        <v>959</v>
      </c>
      <c r="E795" s="1" t="s">
        <v>39</v>
      </c>
      <c r="F795" s="1" t="s">
        <v>959</v>
      </c>
      <c r="G795" s="1" t="s">
        <v>959</v>
      </c>
      <c r="H795" s="1" t="s">
        <v>48</v>
      </c>
      <c r="I795" s="1" t="s">
        <v>32</v>
      </c>
      <c r="J795" s="1" t="s">
        <v>41</v>
      </c>
      <c r="K795" s="1" t="s">
        <v>2539</v>
      </c>
      <c r="L795">
        <v>2</v>
      </c>
      <c r="M795">
        <v>0</v>
      </c>
      <c r="N795">
        <v>0</v>
      </c>
      <c r="O795">
        <v>3</v>
      </c>
      <c r="P795">
        <v>2</v>
      </c>
      <c r="Q795">
        <v>0</v>
      </c>
      <c r="R795">
        <v>0</v>
      </c>
      <c r="S795">
        <v>1</v>
      </c>
      <c r="T795">
        <v>1</v>
      </c>
      <c r="U795" s="1" t="s">
        <v>2540</v>
      </c>
      <c r="V795" s="1" t="s">
        <v>144</v>
      </c>
      <c r="W795" s="1">
        <f t="shared" si="12"/>
        <v>202.26999999999899</v>
      </c>
      <c r="X795" s="1">
        <v>678</v>
      </c>
      <c r="Y795">
        <v>1</v>
      </c>
      <c r="Z795">
        <v>1</v>
      </c>
      <c r="AA795">
        <v>75</v>
      </c>
    </row>
    <row r="796" spans="1:27" x14ac:dyDescent="0.3">
      <c r="A796" s="1" t="s">
        <v>2894</v>
      </c>
      <c r="B796">
        <v>795</v>
      </c>
      <c r="C796" s="1" t="s">
        <v>2895</v>
      </c>
      <c r="D796" s="1" t="s">
        <v>1056</v>
      </c>
      <c r="E796" s="1" t="s">
        <v>41</v>
      </c>
      <c r="F796" s="1" t="s">
        <v>1131</v>
      </c>
      <c r="G796" s="1" t="s">
        <v>149</v>
      </c>
      <c r="H796" s="1" t="s">
        <v>55</v>
      </c>
      <c r="I796" s="1" t="s">
        <v>32</v>
      </c>
      <c r="J796" s="1" t="s">
        <v>32</v>
      </c>
      <c r="K796" s="1" t="s">
        <v>1591</v>
      </c>
      <c r="L796">
        <v>2</v>
      </c>
      <c r="M796">
        <v>0</v>
      </c>
      <c r="N796">
        <v>0</v>
      </c>
      <c r="O796">
        <v>4</v>
      </c>
      <c r="P796">
        <v>2</v>
      </c>
      <c r="Q796">
        <v>0</v>
      </c>
      <c r="R796">
        <v>0</v>
      </c>
      <c r="S796">
        <v>1</v>
      </c>
      <c r="T796">
        <v>1</v>
      </c>
      <c r="U796" s="1" t="s">
        <v>1591</v>
      </c>
      <c r="V796" s="1" t="s">
        <v>152</v>
      </c>
      <c r="W796" s="1">
        <f t="shared" si="12"/>
        <v>63.28</v>
      </c>
      <c r="X796" s="1" t="s">
        <v>1592</v>
      </c>
      <c r="Y796">
        <v>1</v>
      </c>
      <c r="Z796">
        <v>1</v>
      </c>
      <c r="AA796">
        <v>76</v>
      </c>
    </row>
    <row r="797" spans="1:27" x14ac:dyDescent="0.3">
      <c r="A797" s="1" t="s">
        <v>2896</v>
      </c>
      <c r="B797">
        <v>796</v>
      </c>
      <c r="C797" s="1" t="s">
        <v>2897</v>
      </c>
      <c r="D797" s="1" t="s">
        <v>158</v>
      </c>
      <c r="E797" s="1" t="s">
        <v>32</v>
      </c>
      <c r="F797" s="1" t="s">
        <v>1137</v>
      </c>
      <c r="G797" s="1" t="s">
        <v>971</v>
      </c>
      <c r="H797" s="1" t="s">
        <v>63</v>
      </c>
      <c r="I797" s="1" t="s">
        <v>32</v>
      </c>
      <c r="J797" s="1" t="s">
        <v>74</v>
      </c>
      <c r="K797" s="1" t="s">
        <v>2513</v>
      </c>
      <c r="L797">
        <v>3</v>
      </c>
      <c r="M797">
        <v>1</v>
      </c>
      <c r="N797">
        <v>0</v>
      </c>
      <c r="O797">
        <v>5</v>
      </c>
      <c r="P797">
        <v>4</v>
      </c>
      <c r="Q797">
        <v>0</v>
      </c>
      <c r="R797">
        <v>0</v>
      </c>
      <c r="S797">
        <v>1</v>
      </c>
      <c r="T797">
        <v>1</v>
      </c>
      <c r="U797" s="1" t="s">
        <v>726</v>
      </c>
      <c r="V797" s="1" t="s">
        <v>304</v>
      </c>
      <c r="W797" s="1">
        <f t="shared" si="12"/>
        <v>64.41</v>
      </c>
      <c r="X797" s="1">
        <v>1243</v>
      </c>
      <c r="Y797">
        <v>1</v>
      </c>
      <c r="Z797">
        <v>1</v>
      </c>
      <c r="AA797">
        <v>77</v>
      </c>
    </row>
    <row r="798" spans="1:27" x14ac:dyDescent="0.3">
      <c r="A798" s="1" t="s">
        <v>2898</v>
      </c>
      <c r="B798">
        <v>797</v>
      </c>
      <c r="C798" s="1" t="s">
        <v>2899</v>
      </c>
      <c r="D798" s="1" t="s">
        <v>1064</v>
      </c>
      <c r="E798" s="1" t="s">
        <v>29</v>
      </c>
      <c r="F798" s="1" t="s">
        <v>1141</v>
      </c>
      <c r="G798" s="1" t="s">
        <v>164</v>
      </c>
      <c r="H798" s="1" t="s">
        <v>74</v>
      </c>
      <c r="I798" s="1" t="s">
        <v>32</v>
      </c>
      <c r="J798" s="1" t="s">
        <v>29</v>
      </c>
      <c r="K798" s="1" t="s">
        <v>2516</v>
      </c>
      <c r="L798">
        <v>3</v>
      </c>
      <c r="M798">
        <v>0</v>
      </c>
      <c r="N798">
        <v>0</v>
      </c>
      <c r="O798">
        <v>6</v>
      </c>
      <c r="P798">
        <v>3</v>
      </c>
      <c r="Q798">
        <v>0</v>
      </c>
      <c r="R798">
        <v>0</v>
      </c>
      <c r="S798">
        <v>1</v>
      </c>
      <c r="T798">
        <v>1</v>
      </c>
      <c r="U798" s="1" t="s">
        <v>2517</v>
      </c>
      <c r="V798" s="1" t="s">
        <v>1190</v>
      </c>
      <c r="W798" s="1">
        <f t="shared" si="12"/>
        <v>267.81</v>
      </c>
      <c r="X798" s="1" t="s">
        <v>932</v>
      </c>
      <c r="Y798">
        <v>1</v>
      </c>
      <c r="Z798">
        <v>1</v>
      </c>
      <c r="AA798">
        <v>78</v>
      </c>
    </row>
    <row r="799" spans="1:27" x14ac:dyDescent="0.3">
      <c r="A799" s="1" t="s">
        <v>2900</v>
      </c>
      <c r="B799">
        <v>798</v>
      </c>
      <c r="C799" s="1" t="s">
        <v>2901</v>
      </c>
      <c r="D799" s="1" t="s">
        <v>1067</v>
      </c>
      <c r="E799" s="1" t="s">
        <v>39</v>
      </c>
      <c r="F799" s="1" t="s">
        <v>1145</v>
      </c>
      <c r="G799" s="1" t="s">
        <v>173</v>
      </c>
      <c r="H799" s="1" t="s">
        <v>29</v>
      </c>
      <c r="I799" s="1" t="s">
        <v>32</v>
      </c>
      <c r="J799" s="1" t="s">
        <v>75</v>
      </c>
      <c r="K799" s="1" t="s">
        <v>1600</v>
      </c>
      <c r="L799">
        <v>3</v>
      </c>
      <c r="M799">
        <v>2</v>
      </c>
      <c r="N799">
        <v>0</v>
      </c>
      <c r="O799">
        <v>1</v>
      </c>
      <c r="P799">
        <v>5</v>
      </c>
      <c r="Q799">
        <v>0</v>
      </c>
      <c r="R799">
        <v>0</v>
      </c>
      <c r="S799">
        <v>1</v>
      </c>
      <c r="T799">
        <v>1</v>
      </c>
      <c r="U799" s="1" t="s">
        <v>1600</v>
      </c>
      <c r="V799" s="1" t="s">
        <v>177</v>
      </c>
      <c r="W799" s="1">
        <f t="shared" si="12"/>
        <v>61.02</v>
      </c>
      <c r="X799" s="1" t="s">
        <v>1601</v>
      </c>
      <c r="Y799">
        <v>1</v>
      </c>
      <c r="Z799">
        <v>1</v>
      </c>
      <c r="AA799">
        <v>79</v>
      </c>
    </row>
    <row r="800" spans="1:27" x14ac:dyDescent="0.3">
      <c r="A800" s="1" t="s">
        <v>2902</v>
      </c>
      <c r="B800">
        <v>799</v>
      </c>
      <c r="C800" s="1" t="s">
        <v>2903</v>
      </c>
      <c r="D800" s="1" t="s">
        <v>987</v>
      </c>
      <c r="E800" s="1" t="s">
        <v>41</v>
      </c>
      <c r="F800" s="1" t="s">
        <v>987</v>
      </c>
      <c r="G800" s="1" t="s">
        <v>987</v>
      </c>
      <c r="H800" s="1" t="s">
        <v>32</v>
      </c>
      <c r="I800" s="1" t="s">
        <v>32</v>
      </c>
      <c r="J800" s="1" t="s">
        <v>41</v>
      </c>
      <c r="K800" s="1" t="s">
        <v>942</v>
      </c>
      <c r="L800">
        <v>3</v>
      </c>
      <c r="M800">
        <v>0</v>
      </c>
      <c r="N800">
        <v>0</v>
      </c>
      <c r="O800">
        <v>2</v>
      </c>
      <c r="P800">
        <v>3</v>
      </c>
      <c r="Q800">
        <v>0</v>
      </c>
      <c r="R800">
        <v>0</v>
      </c>
      <c r="S800">
        <v>1</v>
      </c>
      <c r="T800">
        <v>1</v>
      </c>
      <c r="U800" s="1" t="s">
        <v>943</v>
      </c>
      <c r="V800" s="1" t="s">
        <v>87</v>
      </c>
      <c r="W800" s="1">
        <f t="shared" si="12"/>
        <v>274.58999999999997</v>
      </c>
      <c r="X800" s="1" t="s">
        <v>944</v>
      </c>
      <c r="Y800">
        <v>1</v>
      </c>
      <c r="Z800">
        <v>1</v>
      </c>
      <c r="AA800">
        <v>80</v>
      </c>
    </row>
    <row r="801" spans="1:27" x14ac:dyDescent="0.3">
      <c r="A801" s="1" t="s">
        <v>2904</v>
      </c>
      <c r="B801">
        <v>800</v>
      </c>
      <c r="C801" s="1" t="s">
        <v>2905</v>
      </c>
      <c r="D801" s="1" t="s">
        <v>189</v>
      </c>
      <c r="E801" s="1" t="s">
        <v>32</v>
      </c>
      <c r="F801" s="1" t="s">
        <v>1152</v>
      </c>
      <c r="G801" s="1" t="s">
        <v>990</v>
      </c>
      <c r="H801" s="1" t="s">
        <v>41</v>
      </c>
      <c r="I801" s="1" t="s">
        <v>32</v>
      </c>
      <c r="J801" s="1" t="s">
        <v>32</v>
      </c>
      <c r="K801" s="1" t="s">
        <v>2906</v>
      </c>
      <c r="L801">
        <v>1</v>
      </c>
      <c r="M801">
        <v>1</v>
      </c>
      <c r="N801">
        <v>0</v>
      </c>
      <c r="O801">
        <v>3</v>
      </c>
      <c r="P801">
        <v>2</v>
      </c>
      <c r="Q801">
        <v>0</v>
      </c>
      <c r="R801">
        <v>0</v>
      </c>
      <c r="S801">
        <v>1</v>
      </c>
      <c r="T801">
        <v>1</v>
      </c>
      <c r="U801" s="1" t="s">
        <v>2907</v>
      </c>
      <c r="V801" s="1" t="s">
        <v>96</v>
      </c>
      <c r="W801" s="1">
        <f t="shared" si="12"/>
        <v>229.39</v>
      </c>
      <c r="X801" s="1" t="s">
        <v>1609</v>
      </c>
      <c r="Y801">
        <v>1</v>
      </c>
      <c r="Z801">
        <v>1</v>
      </c>
      <c r="AA801">
        <v>81</v>
      </c>
    </row>
    <row r="802" spans="1:27" x14ac:dyDescent="0.3">
      <c r="A802" s="1" t="s">
        <v>2908</v>
      </c>
      <c r="B802">
        <v>801</v>
      </c>
      <c r="C802" s="1" t="s">
        <v>2909</v>
      </c>
      <c r="D802" s="1" t="s">
        <v>31</v>
      </c>
      <c r="E802" s="1" t="s">
        <v>29</v>
      </c>
      <c r="F802" s="1" t="s">
        <v>31</v>
      </c>
      <c r="G802" s="1" t="s">
        <v>31</v>
      </c>
      <c r="H802" s="1" t="s">
        <v>48</v>
      </c>
      <c r="I802" s="1" t="s">
        <v>33</v>
      </c>
      <c r="J802" s="1" t="s">
        <v>33</v>
      </c>
      <c r="K802" s="1" t="s">
        <v>34</v>
      </c>
      <c r="L802">
        <v>1</v>
      </c>
      <c r="M802">
        <v>0</v>
      </c>
      <c r="N802">
        <v>0</v>
      </c>
      <c r="O802">
        <v>4</v>
      </c>
      <c r="P802">
        <v>1</v>
      </c>
      <c r="Q802">
        <v>1</v>
      </c>
      <c r="R802">
        <v>0</v>
      </c>
      <c r="S802">
        <v>0</v>
      </c>
      <c r="T802">
        <v>0</v>
      </c>
      <c r="U802" s="1" t="s">
        <v>105</v>
      </c>
      <c r="V802" s="1">
        <v>0</v>
      </c>
      <c r="W802" s="1">
        <f t="shared" si="12"/>
        <v>0</v>
      </c>
      <c r="X802" s="1" t="s">
        <v>105</v>
      </c>
      <c r="Y802">
        <v>1</v>
      </c>
      <c r="Z802">
        <v>0</v>
      </c>
      <c r="AA802">
        <v>82</v>
      </c>
    </row>
    <row r="803" spans="1:27" x14ac:dyDescent="0.3">
      <c r="A803" s="1" t="s">
        <v>2910</v>
      </c>
      <c r="B803">
        <v>802</v>
      </c>
      <c r="C803" s="1" t="s">
        <v>2911</v>
      </c>
      <c r="D803" s="1" t="s">
        <v>40</v>
      </c>
      <c r="E803" s="1" t="s">
        <v>39</v>
      </c>
      <c r="F803" s="1" t="s">
        <v>40</v>
      </c>
      <c r="G803" s="1" t="s">
        <v>40</v>
      </c>
      <c r="H803" s="1" t="s">
        <v>55</v>
      </c>
      <c r="I803" s="1" t="s">
        <v>33</v>
      </c>
      <c r="J803" s="1" t="s">
        <v>33</v>
      </c>
      <c r="K803" s="1" t="s">
        <v>34</v>
      </c>
      <c r="L803">
        <v>1</v>
      </c>
      <c r="M803">
        <v>0</v>
      </c>
      <c r="N803">
        <v>0</v>
      </c>
      <c r="O803">
        <v>5</v>
      </c>
      <c r="P803">
        <v>1</v>
      </c>
      <c r="Q803">
        <v>1</v>
      </c>
      <c r="R803">
        <v>0</v>
      </c>
      <c r="S803">
        <v>0</v>
      </c>
      <c r="T803">
        <v>0</v>
      </c>
      <c r="U803" s="1" t="s">
        <v>204</v>
      </c>
      <c r="V803" s="1">
        <v>0</v>
      </c>
      <c r="W803" s="1">
        <f t="shared" si="12"/>
        <v>0</v>
      </c>
      <c r="X803" s="1" t="s">
        <v>204</v>
      </c>
      <c r="Y803">
        <v>1</v>
      </c>
      <c r="Z803">
        <v>0</v>
      </c>
      <c r="AA803">
        <v>83</v>
      </c>
    </row>
    <row r="804" spans="1:27" x14ac:dyDescent="0.3">
      <c r="A804" s="1" t="s">
        <v>2912</v>
      </c>
      <c r="B804">
        <v>803</v>
      </c>
      <c r="C804" s="1" t="s">
        <v>2913</v>
      </c>
      <c r="D804" s="1" t="s">
        <v>1084</v>
      </c>
      <c r="E804" s="1" t="s">
        <v>41</v>
      </c>
      <c r="F804" s="1" t="s">
        <v>1084</v>
      </c>
      <c r="G804" s="1" t="s">
        <v>47</v>
      </c>
      <c r="H804" s="1" t="s">
        <v>63</v>
      </c>
      <c r="I804" s="1" t="s">
        <v>33</v>
      </c>
      <c r="J804" s="1" t="s">
        <v>33</v>
      </c>
      <c r="K804" s="1" t="s">
        <v>34</v>
      </c>
      <c r="L804">
        <v>2</v>
      </c>
      <c r="M804">
        <v>0</v>
      </c>
      <c r="N804">
        <v>0</v>
      </c>
      <c r="O804">
        <v>6</v>
      </c>
      <c r="P804">
        <v>2</v>
      </c>
      <c r="Q804">
        <v>1</v>
      </c>
      <c r="R804">
        <v>0</v>
      </c>
      <c r="S804">
        <v>0</v>
      </c>
      <c r="T804">
        <v>0</v>
      </c>
      <c r="U804" s="1" t="s">
        <v>121</v>
      </c>
      <c r="V804" s="1">
        <v>0</v>
      </c>
      <c r="W804" s="1">
        <f t="shared" si="12"/>
        <v>0</v>
      </c>
      <c r="X804" s="1" t="s">
        <v>121</v>
      </c>
      <c r="Y804">
        <v>1</v>
      </c>
      <c r="Z804">
        <v>0</v>
      </c>
      <c r="AA804">
        <v>84</v>
      </c>
    </row>
    <row r="805" spans="1:27" x14ac:dyDescent="0.3">
      <c r="A805" s="1" t="s">
        <v>2914</v>
      </c>
      <c r="B805">
        <v>804</v>
      </c>
      <c r="C805" s="1" t="s">
        <v>2915</v>
      </c>
      <c r="D805" s="1" t="s">
        <v>1088</v>
      </c>
      <c r="E805" s="1" t="s">
        <v>32</v>
      </c>
      <c r="F805" s="1" t="s">
        <v>1168</v>
      </c>
      <c r="G805" s="1" t="s">
        <v>54</v>
      </c>
      <c r="H805" s="1" t="s">
        <v>74</v>
      </c>
      <c r="I805" s="1" t="s">
        <v>56</v>
      </c>
      <c r="J805" s="1" t="s">
        <v>33</v>
      </c>
      <c r="K805" s="1" t="s">
        <v>34</v>
      </c>
      <c r="L805">
        <v>2</v>
      </c>
      <c r="M805">
        <v>2</v>
      </c>
      <c r="N805">
        <v>1</v>
      </c>
      <c r="O805">
        <v>1</v>
      </c>
      <c r="P805">
        <v>5</v>
      </c>
      <c r="Q805">
        <v>0</v>
      </c>
      <c r="R805">
        <v>1</v>
      </c>
      <c r="S805">
        <v>0</v>
      </c>
      <c r="T805">
        <v>0</v>
      </c>
      <c r="U805" s="1" t="s">
        <v>128</v>
      </c>
      <c r="V805" s="1">
        <v>0</v>
      </c>
      <c r="W805" s="1">
        <f t="shared" si="12"/>
        <v>0</v>
      </c>
      <c r="X805" s="1" t="s">
        <v>128</v>
      </c>
      <c r="Y805">
        <v>1</v>
      </c>
      <c r="Z805">
        <v>0</v>
      </c>
      <c r="AA805">
        <v>85</v>
      </c>
    </row>
    <row r="806" spans="1:27" x14ac:dyDescent="0.3">
      <c r="A806" s="1" t="s">
        <v>2916</v>
      </c>
      <c r="B806">
        <v>805</v>
      </c>
      <c r="C806" s="1" t="s">
        <v>2917</v>
      </c>
      <c r="D806" s="1" t="s">
        <v>1092</v>
      </c>
      <c r="E806" s="1" t="s">
        <v>29</v>
      </c>
      <c r="F806" s="1" t="s">
        <v>216</v>
      </c>
      <c r="G806" s="1" t="s">
        <v>62</v>
      </c>
      <c r="H806" s="1" t="s">
        <v>29</v>
      </c>
      <c r="I806" s="1" t="s">
        <v>64</v>
      </c>
      <c r="J806" s="1" t="s">
        <v>29</v>
      </c>
      <c r="K806" s="1" t="s">
        <v>217</v>
      </c>
      <c r="L806">
        <v>2</v>
      </c>
      <c r="M806">
        <v>0</v>
      </c>
      <c r="N806">
        <v>0</v>
      </c>
      <c r="O806">
        <v>2</v>
      </c>
      <c r="P806">
        <v>2</v>
      </c>
      <c r="Q806">
        <v>0</v>
      </c>
      <c r="R806">
        <v>0</v>
      </c>
      <c r="S806">
        <v>0</v>
      </c>
      <c r="T806">
        <v>0</v>
      </c>
      <c r="U806" s="1" t="s">
        <v>218</v>
      </c>
      <c r="V806" s="1" t="s">
        <v>219</v>
      </c>
      <c r="W806" s="1">
        <f t="shared" si="12"/>
        <v>206.79</v>
      </c>
      <c r="X806" s="1" t="s">
        <v>220</v>
      </c>
      <c r="Y806">
        <v>1</v>
      </c>
      <c r="Z806">
        <v>0</v>
      </c>
      <c r="AA806">
        <v>86</v>
      </c>
    </row>
    <row r="807" spans="1:27" x14ac:dyDescent="0.3">
      <c r="A807" s="1" t="s">
        <v>2918</v>
      </c>
      <c r="B807">
        <v>806</v>
      </c>
      <c r="C807" s="1" t="s">
        <v>2919</v>
      </c>
      <c r="D807" s="1" t="s">
        <v>223</v>
      </c>
      <c r="E807" s="1" t="s">
        <v>39</v>
      </c>
      <c r="F807" s="1" t="s">
        <v>1175</v>
      </c>
      <c r="G807" s="1" t="s">
        <v>73</v>
      </c>
      <c r="H807" s="1" t="s">
        <v>32</v>
      </c>
      <c r="I807" s="1" t="s">
        <v>64</v>
      </c>
      <c r="J807" s="1" t="s">
        <v>75</v>
      </c>
      <c r="K807" s="1" t="s">
        <v>224</v>
      </c>
      <c r="L807">
        <v>3</v>
      </c>
      <c r="M807">
        <v>0</v>
      </c>
      <c r="N807">
        <v>0</v>
      </c>
      <c r="O807">
        <v>3</v>
      </c>
      <c r="P807">
        <v>3</v>
      </c>
      <c r="Q807">
        <v>0</v>
      </c>
      <c r="R807">
        <v>0</v>
      </c>
      <c r="S807">
        <v>0</v>
      </c>
      <c r="T807">
        <v>0</v>
      </c>
      <c r="U807" s="1" t="s">
        <v>225</v>
      </c>
      <c r="V807" s="1" t="s">
        <v>226</v>
      </c>
      <c r="W807" s="1">
        <f t="shared" si="12"/>
        <v>94.92</v>
      </c>
      <c r="X807" s="1" t="s">
        <v>227</v>
      </c>
      <c r="Y807">
        <v>1</v>
      </c>
      <c r="Z807">
        <v>0</v>
      </c>
      <c r="AA807">
        <v>87</v>
      </c>
    </row>
    <row r="808" spans="1:27" x14ac:dyDescent="0.3">
      <c r="A808" s="1" t="s">
        <v>2920</v>
      </c>
      <c r="B808">
        <v>807</v>
      </c>
      <c r="C808" s="1" t="s">
        <v>2921</v>
      </c>
      <c r="D808" s="1" t="s">
        <v>1100</v>
      </c>
      <c r="E808" s="1" t="s">
        <v>41</v>
      </c>
      <c r="F808" s="1" t="s">
        <v>1179</v>
      </c>
      <c r="G808" s="1" t="s">
        <v>84</v>
      </c>
      <c r="H808" s="1" t="s">
        <v>41</v>
      </c>
      <c r="I808" s="1" t="s">
        <v>32</v>
      </c>
      <c r="J808" s="1" t="s">
        <v>75</v>
      </c>
      <c r="K808" s="1" t="s">
        <v>297</v>
      </c>
      <c r="L808">
        <v>3</v>
      </c>
      <c r="M808">
        <v>0</v>
      </c>
      <c r="N808">
        <v>0</v>
      </c>
      <c r="O808">
        <v>4</v>
      </c>
      <c r="P808">
        <v>3</v>
      </c>
      <c r="Q808">
        <v>0</v>
      </c>
      <c r="R808">
        <v>0</v>
      </c>
      <c r="S808">
        <v>1</v>
      </c>
      <c r="T808">
        <v>1</v>
      </c>
      <c r="U808" s="1" t="s">
        <v>297</v>
      </c>
      <c r="V808" s="1" t="s">
        <v>152</v>
      </c>
      <c r="W808" s="1">
        <f t="shared" si="12"/>
        <v>63.28</v>
      </c>
      <c r="X808" s="1" t="s">
        <v>49</v>
      </c>
      <c r="Y808">
        <v>1</v>
      </c>
      <c r="Z808">
        <v>1</v>
      </c>
      <c r="AA808">
        <v>88</v>
      </c>
    </row>
    <row r="809" spans="1:27" x14ac:dyDescent="0.3">
      <c r="A809" s="1" t="s">
        <v>2922</v>
      </c>
      <c r="B809">
        <v>808</v>
      </c>
      <c r="C809" s="1" t="s">
        <v>2923</v>
      </c>
      <c r="D809" s="1" t="s">
        <v>1103</v>
      </c>
      <c r="E809" s="1" t="s">
        <v>32</v>
      </c>
      <c r="F809" s="1" t="s">
        <v>238</v>
      </c>
      <c r="G809" s="1" t="s">
        <v>93</v>
      </c>
      <c r="H809" s="1" t="s">
        <v>48</v>
      </c>
      <c r="I809" s="1" t="s">
        <v>32</v>
      </c>
      <c r="J809" s="1" t="s">
        <v>41</v>
      </c>
      <c r="K809" s="1" t="s">
        <v>159</v>
      </c>
      <c r="L809">
        <v>3</v>
      </c>
      <c r="M809">
        <v>1</v>
      </c>
      <c r="N809">
        <v>0</v>
      </c>
      <c r="O809">
        <v>5</v>
      </c>
      <c r="P809">
        <v>4</v>
      </c>
      <c r="Q809">
        <v>0</v>
      </c>
      <c r="R809">
        <v>0</v>
      </c>
      <c r="S809">
        <v>1</v>
      </c>
      <c r="T809">
        <v>1</v>
      </c>
      <c r="U809" s="1" t="s">
        <v>160</v>
      </c>
      <c r="V809" s="1" t="s">
        <v>161</v>
      </c>
      <c r="W809" s="1">
        <f t="shared" si="12"/>
        <v>66.67</v>
      </c>
      <c r="X809" s="1" t="s">
        <v>57</v>
      </c>
      <c r="Y809">
        <v>1</v>
      </c>
      <c r="Z809">
        <v>1</v>
      </c>
      <c r="AA809">
        <v>89</v>
      </c>
    </row>
    <row r="810" spans="1:27" x14ac:dyDescent="0.3">
      <c r="A810" s="1" t="s">
        <v>2924</v>
      </c>
      <c r="B810">
        <v>809</v>
      </c>
      <c r="C810" s="1" t="s">
        <v>2925</v>
      </c>
      <c r="D810" s="1" t="s">
        <v>242</v>
      </c>
      <c r="E810" s="1" t="s">
        <v>29</v>
      </c>
      <c r="F810" s="1" t="s">
        <v>1187</v>
      </c>
      <c r="G810" s="1" t="s">
        <v>102</v>
      </c>
      <c r="H810" s="1" t="s">
        <v>55</v>
      </c>
      <c r="I810" s="1" t="s">
        <v>32</v>
      </c>
      <c r="J810" s="1" t="s">
        <v>32</v>
      </c>
      <c r="K810" s="1" t="s">
        <v>2926</v>
      </c>
      <c r="L810">
        <v>3</v>
      </c>
      <c r="M810">
        <v>0</v>
      </c>
      <c r="N810">
        <v>0</v>
      </c>
      <c r="O810">
        <v>6</v>
      </c>
      <c r="P810">
        <v>3</v>
      </c>
      <c r="Q810">
        <v>0</v>
      </c>
      <c r="R810">
        <v>0</v>
      </c>
      <c r="S810">
        <v>1</v>
      </c>
      <c r="T810">
        <v>1</v>
      </c>
      <c r="U810" s="1" t="s">
        <v>2927</v>
      </c>
      <c r="V810" s="1" t="s">
        <v>385</v>
      </c>
      <c r="W810" s="1">
        <f t="shared" si="12"/>
        <v>251.43</v>
      </c>
      <c r="X810" s="1" t="s">
        <v>170</v>
      </c>
      <c r="Y810">
        <v>1</v>
      </c>
      <c r="Z810">
        <v>1</v>
      </c>
      <c r="AA810">
        <v>90</v>
      </c>
    </row>
    <row r="811" spans="1:27" x14ac:dyDescent="0.3">
      <c r="A811" s="1" t="s">
        <v>2928</v>
      </c>
      <c r="B811">
        <v>810</v>
      </c>
      <c r="C811" s="1" t="s">
        <v>2929</v>
      </c>
      <c r="D811" s="1" t="s">
        <v>1110</v>
      </c>
      <c r="E811" s="1" t="s">
        <v>39</v>
      </c>
      <c r="F811" s="1" t="s">
        <v>1193</v>
      </c>
      <c r="G811" s="1" t="s">
        <v>108</v>
      </c>
      <c r="H811" s="1" t="s">
        <v>63</v>
      </c>
      <c r="I811" s="1" t="s">
        <v>32</v>
      </c>
      <c r="J811" s="1" t="s">
        <v>74</v>
      </c>
      <c r="K811" s="1" t="s">
        <v>246</v>
      </c>
      <c r="L811">
        <v>1</v>
      </c>
      <c r="M811">
        <v>2</v>
      </c>
      <c r="N811">
        <v>0</v>
      </c>
      <c r="O811">
        <v>1</v>
      </c>
      <c r="P811">
        <v>3</v>
      </c>
      <c r="Q811">
        <v>0</v>
      </c>
      <c r="R811">
        <v>0</v>
      </c>
      <c r="S811">
        <v>1</v>
      </c>
      <c r="T811">
        <v>1</v>
      </c>
      <c r="U811" s="1" t="s">
        <v>246</v>
      </c>
      <c r="V811" s="1" t="s">
        <v>177</v>
      </c>
      <c r="W811" s="1">
        <f t="shared" si="12"/>
        <v>61.02</v>
      </c>
      <c r="X811" s="1" t="s">
        <v>247</v>
      </c>
      <c r="Y811">
        <v>1</v>
      </c>
      <c r="Z811">
        <v>1</v>
      </c>
      <c r="AA811">
        <v>1</v>
      </c>
    </row>
    <row r="812" spans="1:27" x14ac:dyDescent="0.3">
      <c r="A812" s="1" t="s">
        <v>2930</v>
      </c>
      <c r="B812">
        <v>811</v>
      </c>
      <c r="C812" s="1" t="s">
        <v>2931</v>
      </c>
      <c r="D812" s="1" t="s">
        <v>117</v>
      </c>
      <c r="E812" s="1" t="s">
        <v>41</v>
      </c>
      <c r="F812" s="1" t="s">
        <v>117</v>
      </c>
      <c r="G812" s="1" t="s">
        <v>117</v>
      </c>
      <c r="H812" s="1" t="s">
        <v>74</v>
      </c>
      <c r="I812" s="1" t="s">
        <v>32</v>
      </c>
      <c r="J812" s="1" t="s">
        <v>29</v>
      </c>
      <c r="K812" s="1" t="s">
        <v>2932</v>
      </c>
      <c r="L812">
        <v>1</v>
      </c>
      <c r="M812">
        <v>0</v>
      </c>
      <c r="N812">
        <v>0</v>
      </c>
      <c r="O812">
        <v>2</v>
      </c>
      <c r="P812">
        <v>1</v>
      </c>
      <c r="Q812">
        <v>0</v>
      </c>
      <c r="R812">
        <v>0</v>
      </c>
      <c r="S812">
        <v>1</v>
      </c>
      <c r="T812">
        <v>1</v>
      </c>
      <c r="U812" s="1" t="s">
        <v>2933</v>
      </c>
      <c r="V812" s="1" t="s">
        <v>398</v>
      </c>
      <c r="W812" s="1">
        <f t="shared" si="12"/>
        <v>255.95</v>
      </c>
      <c r="X812" s="1" t="s">
        <v>1004</v>
      </c>
      <c r="Y812">
        <v>1</v>
      </c>
      <c r="Z812">
        <v>1</v>
      </c>
      <c r="AA812">
        <v>2</v>
      </c>
    </row>
    <row r="813" spans="1:27" x14ac:dyDescent="0.3">
      <c r="A813" s="1" t="s">
        <v>2934</v>
      </c>
      <c r="B813">
        <v>812</v>
      </c>
      <c r="C813" s="1" t="s">
        <v>2935</v>
      </c>
      <c r="D813" s="1" t="s">
        <v>1119</v>
      </c>
      <c r="E813" s="1" t="s">
        <v>32</v>
      </c>
      <c r="F813" s="1" t="s">
        <v>1201</v>
      </c>
      <c r="G813" s="1" t="s">
        <v>32</v>
      </c>
      <c r="H813" s="1" t="s">
        <v>29</v>
      </c>
      <c r="I813" s="1" t="s">
        <v>32</v>
      </c>
      <c r="J813" s="1" t="s">
        <v>75</v>
      </c>
      <c r="K813" s="1" t="s">
        <v>94</v>
      </c>
      <c r="L813">
        <v>1</v>
      </c>
      <c r="M813">
        <v>1</v>
      </c>
      <c r="N813">
        <v>0</v>
      </c>
      <c r="O813">
        <v>3</v>
      </c>
      <c r="P813">
        <v>2</v>
      </c>
      <c r="Q813">
        <v>0</v>
      </c>
      <c r="R813">
        <v>0</v>
      </c>
      <c r="S813">
        <v>1</v>
      </c>
      <c r="T813">
        <v>1</v>
      </c>
      <c r="U813" s="1" t="s">
        <v>95</v>
      </c>
      <c r="V813" s="1" t="s">
        <v>96</v>
      </c>
      <c r="W813" s="1">
        <f t="shared" si="12"/>
        <v>229.39</v>
      </c>
      <c r="X813" s="1" t="s">
        <v>97</v>
      </c>
      <c r="Y813">
        <v>1</v>
      </c>
      <c r="Z813">
        <v>1</v>
      </c>
      <c r="AA813">
        <v>3</v>
      </c>
    </row>
    <row r="814" spans="1:27" x14ac:dyDescent="0.3">
      <c r="A814" s="1" t="s">
        <v>2936</v>
      </c>
      <c r="B814">
        <v>813</v>
      </c>
      <c r="C814" s="1" t="s">
        <v>2937</v>
      </c>
      <c r="D814" s="1" t="s">
        <v>1123</v>
      </c>
      <c r="E814" s="1" t="s">
        <v>29</v>
      </c>
      <c r="F814" s="1" t="s">
        <v>1123</v>
      </c>
      <c r="G814" s="1" t="s">
        <v>132</v>
      </c>
      <c r="H814" s="1" t="s">
        <v>32</v>
      </c>
      <c r="I814" s="1" t="s">
        <v>32</v>
      </c>
      <c r="J814" s="1" t="s">
        <v>41</v>
      </c>
      <c r="K814" s="1" t="s">
        <v>263</v>
      </c>
      <c r="L814">
        <v>2</v>
      </c>
      <c r="M814">
        <v>0</v>
      </c>
      <c r="N814">
        <v>0</v>
      </c>
      <c r="O814">
        <v>4</v>
      </c>
      <c r="P814">
        <v>2</v>
      </c>
      <c r="Q814">
        <v>0</v>
      </c>
      <c r="R814">
        <v>0</v>
      </c>
      <c r="S814">
        <v>1</v>
      </c>
      <c r="T814">
        <v>1</v>
      </c>
      <c r="U814" s="1" t="s">
        <v>263</v>
      </c>
      <c r="V814" s="1" t="s">
        <v>104</v>
      </c>
      <c r="W814" s="1">
        <f t="shared" si="12"/>
        <v>76.84</v>
      </c>
      <c r="X814" s="1" t="s">
        <v>264</v>
      </c>
      <c r="Y814">
        <v>1</v>
      </c>
      <c r="Z814">
        <v>1</v>
      </c>
      <c r="AA814">
        <v>4</v>
      </c>
    </row>
    <row r="815" spans="1:27" x14ac:dyDescent="0.3">
      <c r="A815" s="1" t="s">
        <v>2938</v>
      </c>
      <c r="B815">
        <v>814</v>
      </c>
      <c r="C815" s="1" t="s">
        <v>2939</v>
      </c>
      <c r="D815" s="1" t="s">
        <v>141</v>
      </c>
      <c r="E815" s="1" t="s">
        <v>39</v>
      </c>
      <c r="F815" s="1" t="s">
        <v>141</v>
      </c>
      <c r="G815" s="1" t="s">
        <v>141</v>
      </c>
      <c r="H815" s="1" t="s">
        <v>41</v>
      </c>
      <c r="I815" s="1" t="s">
        <v>32</v>
      </c>
      <c r="J815" s="1" t="s">
        <v>32</v>
      </c>
      <c r="K815" s="1" t="s">
        <v>1068</v>
      </c>
      <c r="L815">
        <v>2</v>
      </c>
      <c r="M815">
        <v>0</v>
      </c>
      <c r="N815">
        <v>0</v>
      </c>
      <c r="O815">
        <v>5</v>
      </c>
      <c r="P815">
        <v>2</v>
      </c>
      <c r="Q815">
        <v>0</v>
      </c>
      <c r="R815">
        <v>0</v>
      </c>
      <c r="S815">
        <v>1</v>
      </c>
      <c r="T815">
        <v>1</v>
      </c>
      <c r="U815" s="1" t="s">
        <v>1069</v>
      </c>
      <c r="V815" s="1" t="s">
        <v>111</v>
      </c>
      <c r="W815" s="1">
        <f t="shared" si="12"/>
        <v>80.229999999999905</v>
      </c>
      <c r="X815" s="1" t="s">
        <v>204</v>
      </c>
      <c r="Y815">
        <v>1</v>
      </c>
      <c r="Z815">
        <v>1</v>
      </c>
      <c r="AA815">
        <v>5</v>
      </c>
    </row>
    <row r="816" spans="1:27" x14ac:dyDescent="0.3">
      <c r="A816" s="1" t="s">
        <v>2940</v>
      </c>
      <c r="B816">
        <v>815</v>
      </c>
      <c r="C816" s="1" t="s">
        <v>2941</v>
      </c>
      <c r="D816" s="1" t="s">
        <v>150</v>
      </c>
      <c r="E816" s="1" t="s">
        <v>41</v>
      </c>
      <c r="F816" s="1" t="s">
        <v>150</v>
      </c>
      <c r="G816" s="1" t="s">
        <v>150</v>
      </c>
      <c r="H816" s="1" t="s">
        <v>48</v>
      </c>
      <c r="I816" s="1" t="s">
        <v>32</v>
      </c>
      <c r="J816" s="1" t="s">
        <v>74</v>
      </c>
      <c r="K816" s="1" t="s">
        <v>274</v>
      </c>
      <c r="L816">
        <v>2</v>
      </c>
      <c r="M816">
        <v>0</v>
      </c>
      <c r="N816">
        <v>0</v>
      </c>
      <c r="O816">
        <v>6</v>
      </c>
      <c r="P816">
        <v>2</v>
      </c>
      <c r="Q816">
        <v>0</v>
      </c>
      <c r="R816">
        <v>0</v>
      </c>
      <c r="S816">
        <v>1</v>
      </c>
      <c r="T816">
        <v>1</v>
      </c>
      <c r="U816" s="1" t="s">
        <v>275</v>
      </c>
      <c r="V816" s="1" t="s">
        <v>169</v>
      </c>
      <c r="W816" s="1">
        <f t="shared" si="12"/>
        <v>270.07</v>
      </c>
      <c r="X816" s="1" t="s">
        <v>276</v>
      </c>
      <c r="Y816">
        <v>1</v>
      </c>
      <c r="Z816">
        <v>1</v>
      </c>
      <c r="AA816">
        <v>6</v>
      </c>
    </row>
    <row r="817" spans="1:27" x14ac:dyDescent="0.3">
      <c r="A817" s="1" t="s">
        <v>2942</v>
      </c>
      <c r="B817">
        <v>816</v>
      </c>
      <c r="C817" s="1" t="s">
        <v>2943</v>
      </c>
      <c r="D817" s="1" t="s">
        <v>1136</v>
      </c>
      <c r="E817" s="1" t="s">
        <v>32</v>
      </c>
      <c r="F817" s="1" t="s">
        <v>1136</v>
      </c>
      <c r="G817" s="1" t="s">
        <v>158</v>
      </c>
      <c r="H817" s="1" t="s">
        <v>55</v>
      </c>
      <c r="I817" s="1" t="s">
        <v>32</v>
      </c>
      <c r="J817" s="1" t="s">
        <v>29</v>
      </c>
      <c r="K817" s="1" t="s">
        <v>126</v>
      </c>
      <c r="L817">
        <v>3</v>
      </c>
      <c r="M817">
        <v>2</v>
      </c>
      <c r="N817">
        <v>1</v>
      </c>
      <c r="O817">
        <v>1</v>
      </c>
      <c r="P817">
        <v>6</v>
      </c>
      <c r="Q817">
        <v>0</v>
      </c>
      <c r="R817">
        <v>0</v>
      </c>
      <c r="S817">
        <v>1</v>
      </c>
      <c r="T817">
        <v>1</v>
      </c>
      <c r="U817" s="1" t="s">
        <v>126</v>
      </c>
      <c r="V817" s="1" t="s">
        <v>127</v>
      </c>
      <c r="W817" s="1">
        <f t="shared" si="12"/>
        <v>47.46</v>
      </c>
      <c r="X817" s="1" t="s">
        <v>128</v>
      </c>
      <c r="Y817">
        <v>1</v>
      </c>
      <c r="Z817">
        <v>1</v>
      </c>
      <c r="AA817">
        <v>7</v>
      </c>
    </row>
    <row r="818" spans="1:27" x14ac:dyDescent="0.3">
      <c r="A818" s="1" t="s">
        <v>2944</v>
      </c>
      <c r="B818">
        <v>817</v>
      </c>
      <c r="C818" s="1" t="s">
        <v>2945</v>
      </c>
      <c r="D818" s="1" t="s">
        <v>1140</v>
      </c>
      <c r="E818" s="1" t="s">
        <v>29</v>
      </c>
      <c r="F818" s="1" t="s">
        <v>1221</v>
      </c>
      <c r="G818" s="1" t="s">
        <v>166</v>
      </c>
      <c r="H818" s="1" t="s">
        <v>63</v>
      </c>
      <c r="I818" s="1" t="s">
        <v>32</v>
      </c>
      <c r="J818" s="1" t="s">
        <v>75</v>
      </c>
      <c r="K818" s="1" t="s">
        <v>2567</v>
      </c>
      <c r="L818">
        <v>3</v>
      </c>
      <c r="M818">
        <v>0</v>
      </c>
      <c r="N818">
        <v>0</v>
      </c>
      <c r="O818">
        <v>2</v>
      </c>
      <c r="P818">
        <v>3</v>
      </c>
      <c r="Q818">
        <v>0</v>
      </c>
      <c r="R818">
        <v>0</v>
      </c>
      <c r="S818">
        <v>1</v>
      </c>
      <c r="T818">
        <v>1</v>
      </c>
      <c r="U818" s="1" t="s">
        <v>2568</v>
      </c>
      <c r="V818" s="1" t="s">
        <v>1259</v>
      </c>
      <c r="W818" s="1">
        <f t="shared" si="12"/>
        <v>292.22000000000003</v>
      </c>
      <c r="X818" s="1" t="s">
        <v>136</v>
      </c>
      <c r="Y818">
        <v>1</v>
      </c>
      <c r="Z818">
        <v>1</v>
      </c>
      <c r="AA818">
        <v>8</v>
      </c>
    </row>
    <row r="819" spans="1:27" x14ac:dyDescent="0.3">
      <c r="A819" s="1" t="s">
        <v>2946</v>
      </c>
      <c r="B819">
        <v>818</v>
      </c>
      <c r="C819" s="1" t="s">
        <v>2947</v>
      </c>
      <c r="D819" s="1" t="s">
        <v>1144</v>
      </c>
      <c r="E819" s="1" t="s">
        <v>39</v>
      </c>
      <c r="F819" s="1" t="s">
        <v>1224</v>
      </c>
      <c r="G819" s="1" t="s">
        <v>175</v>
      </c>
      <c r="H819" s="1" t="s">
        <v>74</v>
      </c>
      <c r="I819" s="1" t="s">
        <v>32</v>
      </c>
      <c r="J819" s="1" t="s">
        <v>41</v>
      </c>
      <c r="K819" s="1" t="s">
        <v>2948</v>
      </c>
      <c r="L819">
        <v>3</v>
      </c>
      <c r="M819">
        <v>0</v>
      </c>
      <c r="N819">
        <v>0</v>
      </c>
      <c r="O819">
        <v>3</v>
      </c>
      <c r="P819">
        <v>3</v>
      </c>
      <c r="Q819">
        <v>0</v>
      </c>
      <c r="R819">
        <v>0</v>
      </c>
      <c r="S819">
        <v>1</v>
      </c>
      <c r="T819">
        <v>1</v>
      </c>
      <c r="U819" s="1" t="s">
        <v>2949</v>
      </c>
      <c r="V819" s="1" t="s">
        <v>1266</v>
      </c>
      <c r="W819" s="1">
        <f t="shared" si="12"/>
        <v>192.78</v>
      </c>
      <c r="X819" s="1" t="s">
        <v>42</v>
      </c>
      <c r="Y819">
        <v>1</v>
      </c>
      <c r="Z819">
        <v>1</v>
      </c>
      <c r="AA819">
        <v>9</v>
      </c>
    </row>
    <row r="820" spans="1:27" x14ac:dyDescent="0.3">
      <c r="A820" s="1" t="s">
        <v>2950</v>
      </c>
      <c r="B820">
        <v>819</v>
      </c>
      <c r="C820" s="1" t="s">
        <v>2951</v>
      </c>
      <c r="D820" s="1" t="s">
        <v>1148</v>
      </c>
      <c r="E820" s="1" t="s">
        <v>41</v>
      </c>
      <c r="F820" s="1" t="s">
        <v>1227</v>
      </c>
      <c r="G820" s="1" t="s">
        <v>181</v>
      </c>
      <c r="H820" s="1" t="s">
        <v>29</v>
      </c>
      <c r="I820" s="1" t="s">
        <v>32</v>
      </c>
      <c r="J820" s="1" t="s">
        <v>32</v>
      </c>
      <c r="K820" s="1" t="s">
        <v>263</v>
      </c>
      <c r="L820">
        <v>3</v>
      </c>
      <c r="M820">
        <v>0</v>
      </c>
      <c r="N820">
        <v>0</v>
      </c>
      <c r="O820">
        <v>4</v>
      </c>
      <c r="P820">
        <v>3</v>
      </c>
      <c r="Q820">
        <v>0</v>
      </c>
      <c r="R820">
        <v>0</v>
      </c>
      <c r="S820">
        <v>1</v>
      </c>
      <c r="T820">
        <v>1</v>
      </c>
      <c r="U820" s="1" t="s">
        <v>263</v>
      </c>
      <c r="V820" s="1" t="s">
        <v>152</v>
      </c>
      <c r="W820" s="1">
        <f t="shared" si="12"/>
        <v>63.28</v>
      </c>
      <c r="X820" s="1" t="s">
        <v>233</v>
      </c>
      <c r="Y820">
        <v>1</v>
      </c>
      <c r="Z820">
        <v>1</v>
      </c>
      <c r="AA820">
        <v>10</v>
      </c>
    </row>
    <row r="821" spans="1:27" x14ac:dyDescent="0.3">
      <c r="A821" s="1" t="s">
        <v>2952</v>
      </c>
      <c r="B821">
        <v>820</v>
      </c>
      <c r="C821" s="1" t="s">
        <v>2953</v>
      </c>
      <c r="D821" s="1" t="s">
        <v>1151</v>
      </c>
      <c r="E821" s="1" t="s">
        <v>32</v>
      </c>
      <c r="F821" s="1" t="s">
        <v>427</v>
      </c>
      <c r="G821" s="1" t="s">
        <v>189</v>
      </c>
      <c r="H821" s="1" t="s">
        <v>32</v>
      </c>
      <c r="I821" s="1" t="s">
        <v>32</v>
      </c>
      <c r="J821" s="1" t="s">
        <v>74</v>
      </c>
      <c r="K821" s="1" t="s">
        <v>1671</v>
      </c>
      <c r="L821">
        <v>1</v>
      </c>
      <c r="M821">
        <v>1</v>
      </c>
      <c r="N821">
        <v>0</v>
      </c>
      <c r="O821">
        <v>5</v>
      </c>
      <c r="P821">
        <v>2</v>
      </c>
      <c r="Q821">
        <v>0</v>
      </c>
      <c r="R821">
        <v>0</v>
      </c>
      <c r="S821">
        <v>1</v>
      </c>
      <c r="T821">
        <v>1</v>
      </c>
      <c r="U821" s="1" t="s">
        <v>1672</v>
      </c>
      <c r="V821" s="1" t="s">
        <v>161</v>
      </c>
      <c r="W821" s="1">
        <f t="shared" si="12"/>
        <v>66.67</v>
      </c>
      <c r="X821" s="1" t="s">
        <v>1673</v>
      </c>
      <c r="Y821">
        <v>1</v>
      </c>
      <c r="Z821">
        <v>1</v>
      </c>
      <c r="AA821">
        <v>11</v>
      </c>
    </row>
    <row r="822" spans="1:27" x14ac:dyDescent="0.3">
      <c r="A822" s="1" t="s">
        <v>2954</v>
      </c>
      <c r="B822">
        <v>821</v>
      </c>
      <c r="C822" s="1" t="s">
        <v>2955</v>
      </c>
      <c r="D822" s="1" t="s">
        <v>1157</v>
      </c>
      <c r="E822" s="1" t="s">
        <v>29</v>
      </c>
      <c r="F822" s="1" t="s">
        <v>1233</v>
      </c>
      <c r="G822" s="1" t="s">
        <v>196</v>
      </c>
      <c r="H822" s="1" t="s">
        <v>41</v>
      </c>
      <c r="I822" s="1" t="s">
        <v>33</v>
      </c>
      <c r="J822" s="1" t="s">
        <v>33</v>
      </c>
      <c r="K822" s="1" t="s">
        <v>34</v>
      </c>
      <c r="L822">
        <v>1</v>
      </c>
      <c r="M822">
        <v>0</v>
      </c>
      <c r="N822">
        <v>0</v>
      </c>
      <c r="O822">
        <v>6</v>
      </c>
      <c r="P822">
        <v>1</v>
      </c>
      <c r="Q822">
        <v>1</v>
      </c>
      <c r="R822">
        <v>0</v>
      </c>
      <c r="S822">
        <v>0</v>
      </c>
      <c r="T822">
        <v>0</v>
      </c>
      <c r="U822" s="1" t="s">
        <v>170</v>
      </c>
      <c r="V822" s="1">
        <v>0</v>
      </c>
      <c r="W822" s="1">
        <f t="shared" si="12"/>
        <v>0</v>
      </c>
      <c r="X822" s="1" t="s">
        <v>170</v>
      </c>
      <c r="Y822">
        <v>1</v>
      </c>
      <c r="Z822">
        <v>0</v>
      </c>
      <c r="AA822">
        <v>12</v>
      </c>
    </row>
    <row r="823" spans="1:27" x14ac:dyDescent="0.3">
      <c r="A823" s="1" t="s">
        <v>2956</v>
      </c>
      <c r="B823">
        <v>822</v>
      </c>
      <c r="C823" s="1" t="s">
        <v>2957</v>
      </c>
      <c r="D823" s="1" t="s">
        <v>1161</v>
      </c>
      <c r="E823" s="1" t="s">
        <v>39</v>
      </c>
      <c r="F823" s="1" t="s">
        <v>1161</v>
      </c>
      <c r="G823" s="1" t="s">
        <v>203</v>
      </c>
      <c r="H823" s="1" t="s">
        <v>48</v>
      </c>
      <c r="I823" s="1" t="s">
        <v>33</v>
      </c>
      <c r="J823" s="1" t="s">
        <v>33</v>
      </c>
      <c r="K823" s="1" t="s">
        <v>34</v>
      </c>
      <c r="L823">
        <v>1</v>
      </c>
      <c r="M823">
        <v>2</v>
      </c>
      <c r="N823">
        <v>0</v>
      </c>
      <c r="O823">
        <v>1</v>
      </c>
      <c r="P823">
        <v>3</v>
      </c>
      <c r="Q823">
        <v>1</v>
      </c>
      <c r="R823">
        <v>0</v>
      </c>
      <c r="S823">
        <v>0</v>
      </c>
      <c r="T823">
        <v>0</v>
      </c>
      <c r="U823" s="1" t="s">
        <v>79</v>
      </c>
      <c r="V823" s="1">
        <v>0</v>
      </c>
      <c r="W823" s="1">
        <f t="shared" si="12"/>
        <v>0</v>
      </c>
      <c r="X823" s="1" t="s">
        <v>79</v>
      </c>
      <c r="Y823">
        <v>1</v>
      </c>
      <c r="Z823">
        <v>0</v>
      </c>
      <c r="AA823">
        <v>13</v>
      </c>
    </row>
    <row r="824" spans="1:27" x14ac:dyDescent="0.3">
      <c r="A824" s="1" t="s">
        <v>2958</v>
      </c>
      <c r="B824">
        <v>823</v>
      </c>
      <c r="C824" s="1" t="s">
        <v>2959</v>
      </c>
      <c r="D824" s="1" t="s">
        <v>1164</v>
      </c>
      <c r="E824" s="1" t="s">
        <v>41</v>
      </c>
      <c r="F824" s="1" t="s">
        <v>318</v>
      </c>
      <c r="G824" s="1" t="s">
        <v>208</v>
      </c>
      <c r="H824" s="1" t="s">
        <v>55</v>
      </c>
      <c r="I824" s="1" t="s">
        <v>33</v>
      </c>
      <c r="J824" s="1" t="s">
        <v>33</v>
      </c>
      <c r="K824" s="1" t="s">
        <v>34</v>
      </c>
      <c r="L824">
        <v>2</v>
      </c>
      <c r="M824">
        <v>0</v>
      </c>
      <c r="N824">
        <v>0</v>
      </c>
      <c r="O824">
        <v>2</v>
      </c>
      <c r="P824">
        <v>2</v>
      </c>
      <c r="Q824">
        <v>1</v>
      </c>
      <c r="R824">
        <v>0</v>
      </c>
      <c r="S824">
        <v>0</v>
      </c>
      <c r="T824">
        <v>0</v>
      </c>
      <c r="U824" s="1" t="s">
        <v>1004</v>
      </c>
      <c r="V824" s="1">
        <v>0</v>
      </c>
      <c r="W824" s="1">
        <f t="shared" si="12"/>
        <v>0</v>
      </c>
      <c r="X824" s="1" t="s">
        <v>1004</v>
      </c>
      <c r="Y824">
        <v>1</v>
      </c>
      <c r="Z824">
        <v>0</v>
      </c>
      <c r="AA824">
        <v>14</v>
      </c>
    </row>
    <row r="825" spans="1:27" x14ac:dyDescent="0.3">
      <c r="A825" s="1" t="s">
        <v>2960</v>
      </c>
      <c r="B825">
        <v>824</v>
      </c>
      <c r="C825" s="1" t="s">
        <v>2961</v>
      </c>
      <c r="D825" s="1" t="s">
        <v>1167</v>
      </c>
      <c r="E825" s="1" t="s">
        <v>32</v>
      </c>
      <c r="F825" s="1" t="s">
        <v>322</v>
      </c>
      <c r="G825" s="1" t="s">
        <v>212</v>
      </c>
      <c r="H825" s="1" t="s">
        <v>63</v>
      </c>
      <c r="I825" s="1" t="s">
        <v>56</v>
      </c>
      <c r="J825" s="1" t="s">
        <v>33</v>
      </c>
      <c r="K825" s="1" t="s">
        <v>34</v>
      </c>
      <c r="L825">
        <v>2</v>
      </c>
      <c r="M825">
        <v>1</v>
      </c>
      <c r="N825">
        <v>0</v>
      </c>
      <c r="O825">
        <v>3</v>
      </c>
      <c r="P825">
        <v>3</v>
      </c>
      <c r="Q825">
        <v>0</v>
      </c>
      <c r="R825">
        <v>1</v>
      </c>
      <c r="S825">
        <v>0</v>
      </c>
      <c r="T825">
        <v>0</v>
      </c>
      <c r="U825" s="1" t="s">
        <v>1008</v>
      </c>
      <c r="V825" s="1">
        <v>0</v>
      </c>
      <c r="W825" s="1">
        <f t="shared" si="12"/>
        <v>0</v>
      </c>
      <c r="X825" s="1" t="s">
        <v>1008</v>
      </c>
      <c r="Y825">
        <v>1</v>
      </c>
      <c r="Z825">
        <v>0</v>
      </c>
      <c r="AA825">
        <v>15</v>
      </c>
    </row>
    <row r="826" spans="1:27" x14ac:dyDescent="0.3">
      <c r="A826" s="1" t="s">
        <v>2962</v>
      </c>
      <c r="B826">
        <v>825</v>
      </c>
      <c r="C826" s="1" t="s">
        <v>2963</v>
      </c>
      <c r="D826" s="1" t="s">
        <v>1171</v>
      </c>
      <c r="E826" s="1" t="s">
        <v>29</v>
      </c>
      <c r="F826" s="1" t="s">
        <v>327</v>
      </c>
      <c r="G826" s="1" t="s">
        <v>216</v>
      </c>
      <c r="H826" s="1" t="s">
        <v>74</v>
      </c>
      <c r="I826" s="1" t="s">
        <v>64</v>
      </c>
      <c r="J826" s="1" t="s">
        <v>75</v>
      </c>
      <c r="K826" s="1" t="s">
        <v>2964</v>
      </c>
      <c r="L826">
        <v>2</v>
      </c>
      <c r="M826">
        <v>0</v>
      </c>
      <c r="N826">
        <v>0</v>
      </c>
      <c r="O826">
        <v>4</v>
      </c>
      <c r="P826">
        <v>2</v>
      </c>
      <c r="Q826">
        <v>0</v>
      </c>
      <c r="R826">
        <v>0</v>
      </c>
      <c r="S826">
        <v>0</v>
      </c>
      <c r="T826">
        <v>0</v>
      </c>
      <c r="U826" s="1" t="s">
        <v>2965</v>
      </c>
      <c r="V826" s="1" t="s">
        <v>482</v>
      </c>
      <c r="W826" s="1">
        <f t="shared" si="12"/>
        <v>69.16</v>
      </c>
      <c r="X826" s="1" t="s">
        <v>1015</v>
      </c>
      <c r="Y826">
        <v>1</v>
      </c>
      <c r="Z826">
        <v>0</v>
      </c>
      <c r="AA826">
        <v>16</v>
      </c>
    </row>
    <row r="827" spans="1:27" x14ac:dyDescent="0.3">
      <c r="A827" s="1" t="s">
        <v>2966</v>
      </c>
      <c r="B827">
        <v>826</v>
      </c>
      <c r="C827" s="1" t="s">
        <v>2967</v>
      </c>
      <c r="D827" s="1" t="s">
        <v>1174</v>
      </c>
      <c r="E827" s="1" t="s">
        <v>39</v>
      </c>
      <c r="F827" s="1" t="s">
        <v>1248</v>
      </c>
      <c r="G827" s="1" t="s">
        <v>223</v>
      </c>
      <c r="H827" s="1" t="s">
        <v>29</v>
      </c>
      <c r="I827" s="1" t="s">
        <v>64</v>
      </c>
      <c r="J827" s="1" t="s">
        <v>41</v>
      </c>
      <c r="K827" s="1" t="s">
        <v>1019</v>
      </c>
      <c r="L827">
        <v>3</v>
      </c>
      <c r="M827">
        <v>0</v>
      </c>
      <c r="N827">
        <v>0</v>
      </c>
      <c r="O827">
        <v>5</v>
      </c>
      <c r="P827">
        <v>3</v>
      </c>
      <c r="Q827">
        <v>0</v>
      </c>
      <c r="R827">
        <v>0</v>
      </c>
      <c r="S827">
        <v>0</v>
      </c>
      <c r="T827">
        <v>0</v>
      </c>
      <c r="U827" s="1" t="s">
        <v>1020</v>
      </c>
      <c r="V827" s="1" t="s">
        <v>304</v>
      </c>
      <c r="W827" s="1">
        <f t="shared" si="12"/>
        <v>64.41</v>
      </c>
      <c r="X827" s="1" t="s">
        <v>204</v>
      </c>
      <c r="Y827">
        <v>1</v>
      </c>
      <c r="Z827">
        <v>0</v>
      </c>
      <c r="AA827">
        <v>17</v>
      </c>
    </row>
    <row r="828" spans="1:27" x14ac:dyDescent="0.3">
      <c r="A828" s="1" t="s">
        <v>2968</v>
      </c>
      <c r="B828">
        <v>827</v>
      </c>
      <c r="C828" s="1" t="s">
        <v>2969</v>
      </c>
      <c r="D828" s="1" t="s">
        <v>1178</v>
      </c>
      <c r="E828" s="1" t="s">
        <v>41</v>
      </c>
      <c r="F828" s="1" t="s">
        <v>1251</v>
      </c>
      <c r="G828" s="1" t="s">
        <v>230</v>
      </c>
      <c r="H828" s="1" t="s">
        <v>32</v>
      </c>
      <c r="I828" s="1" t="s">
        <v>32</v>
      </c>
      <c r="J828" s="1" t="s">
        <v>41</v>
      </c>
      <c r="K828" s="1" t="s">
        <v>1114</v>
      </c>
      <c r="L828">
        <v>3</v>
      </c>
      <c r="M828">
        <v>0</v>
      </c>
      <c r="N828">
        <v>0</v>
      </c>
      <c r="O828">
        <v>6</v>
      </c>
      <c r="P828">
        <v>3</v>
      </c>
      <c r="Q828">
        <v>0</v>
      </c>
      <c r="R828">
        <v>0</v>
      </c>
      <c r="S828">
        <v>1</v>
      </c>
      <c r="T828">
        <v>1</v>
      </c>
      <c r="U828" s="1" t="s">
        <v>1115</v>
      </c>
      <c r="V828" s="1" t="s">
        <v>169</v>
      </c>
      <c r="W828" s="1">
        <f t="shared" si="12"/>
        <v>270.07</v>
      </c>
      <c r="X828" s="1" t="s">
        <v>1116</v>
      </c>
      <c r="Y828">
        <v>1</v>
      </c>
      <c r="Z828">
        <v>1</v>
      </c>
      <c r="AA828">
        <v>18</v>
      </c>
    </row>
    <row r="829" spans="1:27" x14ac:dyDescent="0.3">
      <c r="A829" s="1" t="s">
        <v>2970</v>
      </c>
      <c r="B829">
        <v>828</v>
      </c>
      <c r="C829" s="1" t="s">
        <v>2971</v>
      </c>
      <c r="D829" s="1" t="s">
        <v>1182</v>
      </c>
      <c r="E829" s="1" t="s">
        <v>32</v>
      </c>
      <c r="F829" s="1" t="s">
        <v>351</v>
      </c>
      <c r="G829" s="1" t="s">
        <v>238</v>
      </c>
      <c r="H829" s="1" t="s">
        <v>41</v>
      </c>
      <c r="I829" s="1" t="s">
        <v>32</v>
      </c>
      <c r="J829" s="1" t="s">
        <v>32</v>
      </c>
      <c r="K829" s="1" t="s">
        <v>281</v>
      </c>
      <c r="L829">
        <v>3</v>
      </c>
      <c r="M829">
        <v>2</v>
      </c>
      <c r="N829">
        <v>1</v>
      </c>
      <c r="O829">
        <v>1</v>
      </c>
      <c r="P829">
        <v>6</v>
      </c>
      <c r="Q829">
        <v>0</v>
      </c>
      <c r="R829">
        <v>0</v>
      </c>
      <c r="S829">
        <v>1</v>
      </c>
      <c r="T829">
        <v>1</v>
      </c>
      <c r="U829" s="1" t="s">
        <v>281</v>
      </c>
      <c r="V829" s="1" t="s">
        <v>127</v>
      </c>
      <c r="W829" s="1">
        <f t="shared" si="12"/>
        <v>47.46</v>
      </c>
      <c r="X829" s="1" t="s">
        <v>282</v>
      </c>
      <c r="Y829">
        <v>1</v>
      </c>
      <c r="Z829">
        <v>1</v>
      </c>
      <c r="AA829">
        <v>19</v>
      </c>
    </row>
    <row r="830" spans="1:27" x14ac:dyDescent="0.3">
      <c r="A830" s="1" t="s">
        <v>2972</v>
      </c>
      <c r="B830">
        <v>829</v>
      </c>
      <c r="C830" s="1" t="s">
        <v>2973</v>
      </c>
      <c r="D830" s="1" t="s">
        <v>1187</v>
      </c>
      <c r="E830" s="1" t="s">
        <v>29</v>
      </c>
      <c r="F830" s="1" t="s">
        <v>358</v>
      </c>
      <c r="G830" s="1" t="s">
        <v>242</v>
      </c>
      <c r="H830" s="1" t="s">
        <v>48</v>
      </c>
      <c r="I830" s="1" t="s">
        <v>32</v>
      </c>
      <c r="J830" s="1" t="s">
        <v>74</v>
      </c>
      <c r="K830" s="1" t="s">
        <v>286</v>
      </c>
      <c r="L830">
        <v>3</v>
      </c>
      <c r="M830">
        <v>0</v>
      </c>
      <c r="N830">
        <v>0</v>
      </c>
      <c r="O830">
        <v>2</v>
      </c>
      <c r="P830">
        <v>3</v>
      </c>
      <c r="Q830">
        <v>0</v>
      </c>
      <c r="R830">
        <v>0</v>
      </c>
      <c r="S830">
        <v>1</v>
      </c>
      <c r="T830">
        <v>1</v>
      </c>
      <c r="U830" s="1" t="s">
        <v>287</v>
      </c>
      <c r="V830" s="1" t="s">
        <v>288</v>
      </c>
      <c r="W830" s="1">
        <f t="shared" si="12"/>
        <v>301.70999999999998</v>
      </c>
      <c r="X830" s="1" t="s">
        <v>289</v>
      </c>
      <c r="Y830">
        <v>1</v>
      </c>
      <c r="Z830">
        <v>1</v>
      </c>
      <c r="AA830">
        <v>20</v>
      </c>
    </row>
    <row r="831" spans="1:27" x14ac:dyDescent="0.3">
      <c r="A831" s="1" t="s">
        <v>2974</v>
      </c>
      <c r="B831">
        <v>830</v>
      </c>
      <c r="C831" s="1" t="s">
        <v>2975</v>
      </c>
      <c r="D831" s="1" t="s">
        <v>1193</v>
      </c>
      <c r="E831" s="1" t="s">
        <v>39</v>
      </c>
      <c r="F831" s="1" t="s">
        <v>1263</v>
      </c>
      <c r="G831" s="1" t="s">
        <v>75</v>
      </c>
      <c r="H831" s="1" t="s">
        <v>55</v>
      </c>
      <c r="I831" s="1" t="s">
        <v>32</v>
      </c>
      <c r="J831" s="1" t="s">
        <v>29</v>
      </c>
      <c r="K831" s="1" t="s">
        <v>2976</v>
      </c>
      <c r="L831">
        <v>1</v>
      </c>
      <c r="M831">
        <v>0</v>
      </c>
      <c r="N831">
        <v>0</v>
      </c>
      <c r="O831">
        <v>3</v>
      </c>
      <c r="P831">
        <v>1</v>
      </c>
      <c r="Q831">
        <v>0</v>
      </c>
      <c r="R831">
        <v>0</v>
      </c>
      <c r="S831">
        <v>1</v>
      </c>
      <c r="T831">
        <v>1</v>
      </c>
      <c r="U831" s="1" t="s">
        <v>2977</v>
      </c>
      <c r="V831" s="1" t="s">
        <v>509</v>
      </c>
      <c r="W831" s="1">
        <f t="shared" si="12"/>
        <v>197.85999999999899</v>
      </c>
      <c r="X831" s="1" t="s">
        <v>2573</v>
      </c>
      <c r="Y831">
        <v>1</v>
      </c>
      <c r="Z831">
        <v>1</v>
      </c>
      <c r="AA831">
        <v>21</v>
      </c>
    </row>
    <row r="832" spans="1:27" x14ac:dyDescent="0.3">
      <c r="A832" s="1" t="s">
        <v>2978</v>
      </c>
      <c r="B832">
        <v>831</v>
      </c>
      <c r="C832" s="1" t="s">
        <v>2979</v>
      </c>
      <c r="D832" s="1" t="s">
        <v>1198</v>
      </c>
      <c r="E832" s="1" t="s">
        <v>41</v>
      </c>
      <c r="F832" s="1" t="s">
        <v>1270</v>
      </c>
      <c r="G832" s="1" t="s">
        <v>251</v>
      </c>
      <c r="H832" s="1" t="s">
        <v>63</v>
      </c>
      <c r="I832" s="1" t="s">
        <v>32</v>
      </c>
      <c r="J832" s="1" t="s">
        <v>75</v>
      </c>
      <c r="K832" s="1" t="s">
        <v>297</v>
      </c>
      <c r="L832">
        <v>1</v>
      </c>
      <c r="M832">
        <v>0</v>
      </c>
      <c r="N832">
        <v>0</v>
      </c>
      <c r="O832">
        <v>4</v>
      </c>
      <c r="P832">
        <v>1</v>
      </c>
      <c r="Q832">
        <v>0</v>
      </c>
      <c r="R832">
        <v>0</v>
      </c>
      <c r="S832">
        <v>1</v>
      </c>
      <c r="T832">
        <v>1</v>
      </c>
      <c r="U832" s="1" t="s">
        <v>297</v>
      </c>
      <c r="V832" s="1" t="s">
        <v>152</v>
      </c>
      <c r="W832" s="1">
        <f t="shared" si="12"/>
        <v>63.28</v>
      </c>
      <c r="X832" s="1" t="s">
        <v>49</v>
      </c>
      <c r="Y832">
        <v>1</v>
      </c>
      <c r="Z832">
        <v>1</v>
      </c>
      <c r="AA832">
        <v>22</v>
      </c>
    </row>
    <row r="833" spans="1:27" x14ac:dyDescent="0.3">
      <c r="A833" s="1" t="s">
        <v>2980</v>
      </c>
      <c r="B833">
        <v>832</v>
      </c>
      <c r="C833" s="1" t="s">
        <v>2981</v>
      </c>
      <c r="D833" s="1" t="s">
        <v>254</v>
      </c>
      <c r="E833" s="1" t="s">
        <v>32</v>
      </c>
      <c r="F833" s="1" t="s">
        <v>375</v>
      </c>
      <c r="G833" s="1" t="s">
        <v>254</v>
      </c>
      <c r="H833" s="1" t="s">
        <v>74</v>
      </c>
      <c r="I833" s="1" t="s">
        <v>32</v>
      </c>
      <c r="J833" s="1" t="s">
        <v>41</v>
      </c>
      <c r="K833" s="1" t="s">
        <v>1630</v>
      </c>
      <c r="L833">
        <v>1</v>
      </c>
      <c r="M833">
        <v>1</v>
      </c>
      <c r="N833">
        <v>0</v>
      </c>
      <c r="O833">
        <v>5</v>
      </c>
      <c r="P833">
        <v>2</v>
      </c>
      <c r="Q833">
        <v>0</v>
      </c>
      <c r="R833">
        <v>0</v>
      </c>
      <c r="S833">
        <v>1</v>
      </c>
      <c r="T833">
        <v>1</v>
      </c>
      <c r="U833" s="1" t="s">
        <v>1631</v>
      </c>
      <c r="V833" s="1" t="s">
        <v>520</v>
      </c>
      <c r="W833" s="1">
        <f t="shared" si="12"/>
        <v>62.26</v>
      </c>
      <c r="X833" s="1" t="s">
        <v>57</v>
      </c>
      <c r="Y833">
        <v>1</v>
      </c>
      <c r="Z833">
        <v>1</v>
      </c>
      <c r="AA833">
        <v>23</v>
      </c>
    </row>
    <row r="834" spans="1:27" x14ac:dyDescent="0.3">
      <c r="A834" s="1" t="s">
        <v>2982</v>
      </c>
      <c r="B834">
        <v>833</v>
      </c>
      <c r="C834" s="1" t="s">
        <v>2983</v>
      </c>
      <c r="D834" s="1" t="s">
        <v>1204</v>
      </c>
      <c r="E834" s="1" t="s">
        <v>29</v>
      </c>
      <c r="F834" s="1" t="s">
        <v>1276</v>
      </c>
      <c r="G834" s="1" t="s">
        <v>262</v>
      </c>
      <c r="H834" s="1" t="s">
        <v>29</v>
      </c>
      <c r="I834" s="1" t="s">
        <v>32</v>
      </c>
      <c r="J834" s="1" t="s">
        <v>32</v>
      </c>
      <c r="K834" s="1" t="s">
        <v>167</v>
      </c>
      <c r="L834">
        <v>2</v>
      </c>
      <c r="M834">
        <v>0</v>
      </c>
      <c r="N834">
        <v>0</v>
      </c>
      <c r="O834">
        <v>6</v>
      </c>
      <c r="P834">
        <v>2</v>
      </c>
      <c r="Q834">
        <v>0</v>
      </c>
      <c r="R834">
        <v>0</v>
      </c>
      <c r="S834">
        <v>1</v>
      </c>
      <c r="T834">
        <v>1</v>
      </c>
      <c r="U834" s="1" t="s">
        <v>168</v>
      </c>
      <c r="V834" s="1" t="s">
        <v>169</v>
      </c>
      <c r="W834" s="1">
        <f t="shared" ref="W834:W897" si="13">VALUE(SUBSTITUTE(TRIM(V834),".", ","))</f>
        <v>270.07</v>
      </c>
      <c r="X834" s="1" t="s">
        <v>170</v>
      </c>
      <c r="Y834">
        <v>1</v>
      </c>
      <c r="Z834">
        <v>1</v>
      </c>
      <c r="AA834">
        <v>24</v>
      </c>
    </row>
    <row r="835" spans="1:27" x14ac:dyDescent="0.3">
      <c r="A835" s="1" t="s">
        <v>2984</v>
      </c>
      <c r="B835">
        <v>834</v>
      </c>
      <c r="C835" s="1" t="s">
        <v>2985</v>
      </c>
      <c r="D835" s="1" t="s">
        <v>1207</v>
      </c>
      <c r="E835" s="1" t="s">
        <v>39</v>
      </c>
      <c r="F835" s="1" t="s">
        <v>1280</v>
      </c>
      <c r="G835" s="1" t="s">
        <v>267</v>
      </c>
      <c r="H835" s="1" t="s">
        <v>32</v>
      </c>
      <c r="I835" s="1" t="s">
        <v>32</v>
      </c>
      <c r="J835" s="1" t="s">
        <v>74</v>
      </c>
      <c r="K835" s="1" t="s">
        <v>1096</v>
      </c>
      <c r="L835">
        <v>2</v>
      </c>
      <c r="M835">
        <v>2</v>
      </c>
      <c r="N835">
        <v>0</v>
      </c>
      <c r="O835">
        <v>1</v>
      </c>
      <c r="P835">
        <v>4</v>
      </c>
      <c r="Q835">
        <v>0</v>
      </c>
      <c r="R835">
        <v>0</v>
      </c>
      <c r="S835">
        <v>1</v>
      </c>
      <c r="T835">
        <v>1</v>
      </c>
      <c r="U835" s="1" t="s">
        <v>1096</v>
      </c>
      <c r="V835" s="1" t="s">
        <v>177</v>
      </c>
      <c r="W835" s="1">
        <f t="shared" si="13"/>
        <v>61.02</v>
      </c>
      <c r="X835" s="1" t="s">
        <v>1097</v>
      </c>
      <c r="Y835">
        <v>1</v>
      </c>
      <c r="Z835">
        <v>1</v>
      </c>
      <c r="AA835">
        <v>25</v>
      </c>
    </row>
    <row r="836" spans="1:27" x14ac:dyDescent="0.3">
      <c r="A836" s="1" t="s">
        <v>2986</v>
      </c>
      <c r="B836">
        <v>835</v>
      </c>
      <c r="C836" s="1" t="s">
        <v>2987</v>
      </c>
      <c r="D836" s="1" t="s">
        <v>1210</v>
      </c>
      <c r="E836" s="1" t="s">
        <v>41</v>
      </c>
      <c r="F836" s="1" t="s">
        <v>1284</v>
      </c>
      <c r="G836" s="1" t="s">
        <v>273</v>
      </c>
      <c r="H836" s="1" t="s">
        <v>41</v>
      </c>
      <c r="I836" s="1" t="s">
        <v>32</v>
      </c>
      <c r="J836" s="1" t="s">
        <v>29</v>
      </c>
      <c r="K836" s="1" t="s">
        <v>1057</v>
      </c>
      <c r="L836">
        <v>2</v>
      </c>
      <c r="M836">
        <v>0</v>
      </c>
      <c r="N836">
        <v>0</v>
      </c>
      <c r="O836">
        <v>2</v>
      </c>
      <c r="P836">
        <v>2</v>
      </c>
      <c r="Q836">
        <v>0</v>
      </c>
      <c r="R836">
        <v>0</v>
      </c>
      <c r="S836">
        <v>1</v>
      </c>
      <c r="T836">
        <v>1</v>
      </c>
      <c r="U836" s="1" t="s">
        <v>1058</v>
      </c>
      <c r="V836" s="1" t="s">
        <v>87</v>
      </c>
      <c r="W836" s="1">
        <f t="shared" si="13"/>
        <v>274.58999999999997</v>
      </c>
      <c r="X836" s="1" t="s">
        <v>1059</v>
      </c>
      <c r="Y836">
        <v>1</v>
      </c>
      <c r="Z836">
        <v>1</v>
      </c>
      <c r="AA836">
        <v>26</v>
      </c>
    </row>
    <row r="837" spans="1:27" x14ac:dyDescent="0.3">
      <c r="A837" s="1" t="s">
        <v>2988</v>
      </c>
      <c r="B837">
        <v>836</v>
      </c>
      <c r="C837" s="1" t="s">
        <v>2989</v>
      </c>
      <c r="D837" s="1" t="s">
        <v>1216</v>
      </c>
      <c r="E837" s="1" t="s">
        <v>32</v>
      </c>
      <c r="F837" s="1" t="s">
        <v>1216</v>
      </c>
      <c r="G837" s="1" t="s">
        <v>280</v>
      </c>
      <c r="H837" s="1" t="s">
        <v>48</v>
      </c>
      <c r="I837" s="1" t="s">
        <v>32</v>
      </c>
      <c r="J837" s="1" t="s">
        <v>75</v>
      </c>
      <c r="K837" s="1" t="s">
        <v>94</v>
      </c>
      <c r="L837">
        <v>3</v>
      </c>
      <c r="M837">
        <v>1</v>
      </c>
      <c r="N837">
        <v>0</v>
      </c>
      <c r="O837">
        <v>3</v>
      </c>
      <c r="P837">
        <v>4</v>
      </c>
      <c r="Q837">
        <v>0</v>
      </c>
      <c r="R837">
        <v>0</v>
      </c>
      <c r="S837">
        <v>1</v>
      </c>
      <c r="T837">
        <v>1</v>
      </c>
      <c r="U837" s="1" t="s">
        <v>95</v>
      </c>
      <c r="V837" s="1" t="s">
        <v>96</v>
      </c>
      <c r="W837" s="1">
        <f t="shared" si="13"/>
        <v>229.39</v>
      </c>
      <c r="X837" s="1" t="s">
        <v>97</v>
      </c>
      <c r="Y837">
        <v>1</v>
      </c>
      <c r="Z837">
        <v>1</v>
      </c>
      <c r="AA837">
        <v>27</v>
      </c>
    </row>
    <row r="838" spans="1:27" x14ac:dyDescent="0.3">
      <c r="A838" s="1" t="s">
        <v>2990</v>
      </c>
      <c r="B838">
        <v>837</v>
      </c>
      <c r="C838" s="1" t="s">
        <v>2991</v>
      </c>
      <c r="D838" s="1" t="s">
        <v>1220</v>
      </c>
      <c r="E838" s="1" t="s">
        <v>29</v>
      </c>
      <c r="F838" s="1" t="s">
        <v>1220</v>
      </c>
      <c r="G838" s="1" t="s">
        <v>285</v>
      </c>
      <c r="H838" s="1" t="s">
        <v>55</v>
      </c>
      <c r="I838" s="1" t="s">
        <v>32</v>
      </c>
      <c r="J838" s="1" t="s">
        <v>41</v>
      </c>
      <c r="K838" s="1" t="s">
        <v>103</v>
      </c>
      <c r="L838">
        <v>3</v>
      </c>
      <c r="M838">
        <v>0</v>
      </c>
      <c r="N838">
        <v>0</v>
      </c>
      <c r="O838">
        <v>4</v>
      </c>
      <c r="P838">
        <v>3</v>
      </c>
      <c r="Q838">
        <v>0</v>
      </c>
      <c r="R838">
        <v>0</v>
      </c>
      <c r="S838">
        <v>1</v>
      </c>
      <c r="T838">
        <v>1</v>
      </c>
      <c r="U838" s="1" t="s">
        <v>103</v>
      </c>
      <c r="V838" s="1" t="s">
        <v>104</v>
      </c>
      <c r="W838" s="1">
        <f t="shared" si="13"/>
        <v>76.84</v>
      </c>
      <c r="X838" s="1" t="s">
        <v>105</v>
      </c>
      <c r="Y838">
        <v>1</v>
      </c>
      <c r="Z838">
        <v>1</v>
      </c>
      <c r="AA838">
        <v>28</v>
      </c>
    </row>
    <row r="839" spans="1:27" x14ac:dyDescent="0.3">
      <c r="A839" s="1" t="s">
        <v>2992</v>
      </c>
      <c r="B839">
        <v>838</v>
      </c>
      <c r="C839" s="1" t="s">
        <v>2993</v>
      </c>
      <c r="D839" s="1" t="s">
        <v>292</v>
      </c>
      <c r="E839" s="1" t="s">
        <v>39</v>
      </c>
      <c r="F839" s="1" t="s">
        <v>292</v>
      </c>
      <c r="G839" s="1" t="s">
        <v>292</v>
      </c>
      <c r="H839" s="1" t="s">
        <v>63</v>
      </c>
      <c r="I839" s="1" t="s">
        <v>32</v>
      </c>
      <c r="J839" s="1" t="s">
        <v>32</v>
      </c>
      <c r="K839" s="1" t="s">
        <v>1648</v>
      </c>
      <c r="L839">
        <v>3</v>
      </c>
      <c r="M839">
        <v>0</v>
      </c>
      <c r="N839">
        <v>0</v>
      </c>
      <c r="O839">
        <v>5</v>
      </c>
      <c r="P839">
        <v>3</v>
      </c>
      <c r="Q839">
        <v>0</v>
      </c>
      <c r="R839">
        <v>0</v>
      </c>
      <c r="S839">
        <v>1</v>
      </c>
      <c r="T839">
        <v>1</v>
      </c>
      <c r="U839" s="1" t="s">
        <v>1649</v>
      </c>
      <c r="V839" s="1" t="s">
        <v>1335</v>
      </c>
      <c r="W839" s="1">
        <f t="shared" si="13"/>
        <v>78.649999999999906</v>
      </c>
      <c r="X839" s="1" t="s">
        <v>204</v>
      </c>
      <c r="Y839">
        <v>1</v>
      </c>
      <c r="Z839">
        <v>1</v>
      </c>
      <c r="AA839">
        <v>29</v>
      </c>
    </row>
    <row r="840" spans="1:27" x14ac:dyDescent="0.3">
      <c r="A840" s="1" t="s">
        <v>2994</v>
      </c>
      <c r="B840">
        <v>839</v>
      </c>
      <c r="C840" s="1" t="s">
        <v>2995</v>
      </c>
      <c r="D840" s="1" t="s">
        <v>74</v>
      </c>
      <c r="E840" s="1" t="s">
        <v>41</v>
      </c>
      <c r="F840" s="1" t="s">
        <v>74</v>
      </c>
      <c r="G840" s="1" t="s">
        <v>74</v>
      </c>
      <c r="H840" s="1" t="s">
        <v>74</v>
      </c>
      <c r="I840" s="1" t="s">
        <v>32</v>
      </c>
      <c r="J840" s="1" t="s">
        <v>74</v>
      </c>
      <c r="K840" s="1" t="s">
        <v>1025</v>
      </c>
      <c r="L840">
        <v>3</v>
      </c>
      <c r="M840">
        <v>0</v>
      </c>
      <c r="N840">
        <v>0</v>
      </c>
      <c r="O840">
        <v>6</v>
      </c>
      <c r="P840">
        <v>3</v>
      </c>
      <c r="Q840">
        <v>0</v>
      </c>
      <c r="R840">
        <v>0</v>
      </c>
      <c r="S840">
        <v>1</v>
      </c>
      <c r="T840">
        <v>1</v>
      </c>
      <c r="U840" s="1" t="s">
        <v>1026</v>
      </c>
      <c r="V840" s="1" t="s">
        <v>1027</v>
      </c>
      <c r="W840" s="1">
        <f t="shared" si="13"/>
        <v>268.49</v>
      </c>
      <c r="X840" s="1" t="s">
        <v>121</v>
      </c>
      <c r="Y840">
        <v>1</v>
      </c>
      <c r="Z840">
        <v>1</v>
      </c>
      <c r="AA840">
        <v>30</v>
      </c>
    </row>
    <row r="841" spans="1:27" x14ac:dyDescent="0.3">
      <c r="A841" s="1" t="s">
        <v>2996</v>
      </c>
      <c r="B841">
        <v>840</v>
      </c>
      <c r="C841" s="1" t="s">
        <v>2997</v>
      </c>
      <c r="D841" s="1" t="s">
        <v>427</v>
      </c>
      <c r="E841" s="1" t="s">
        <v>32</v>
      </c>
      <c r="F841" s="1" t="s">
        <v>301</v>
      </c>
      <c r="G841" s="1" t="s">
        <v>301</v>
      </c>
      <c r="H841" s="1" t="s">
        <v>29</v>
      </c>
      <c r="I841" s="1" t="s">
        <v>32</v>
      </c>
      <c r="J841" s="1" t="s">
        <v>29</v>
      </c>
      <c r="K841" s="1" t="s">
        <v>1075</v>
      </c>
      <c r="L841">
        <v>1</v>
      </c>
      <c r="M841">
        <v>2</v>
      </c>
      <c r="N841">
        <v>1</v>
      </c>
      <c r="O841">
        <v>1</v>
      </c>
      <c r="P841">
        <v>4</v>
      </c>
      <c r="Q841">
        <v>0</v>
      </c>
      <c r="R841">
        <v>0</v>
      </c>
      <c r="S841">
        <v>1</v>
      </c>
      <c r="T841">
        <v>1</v>
      </c>
      <c r="U841" s="1" t="s">
        <v>1075</v>
      </c>
      <c r="V841" s="1" t="s">
        <v>127</v>
      </c>
      <c r="W841" s="1">
        <f t="shared" si="13"/>
        <v>47.46</v>
      </c>
      <c r="X841" s="1" t="s">
        <v>1076</v>
      </c>
      <c r="Y841">
        <v>1</v>
      </c>
      <c r="Z841">
        <v>1</v>
      </c>
      <c r="AA841">
        <v>31</v>
      </c>
    </row>
    <row r="842" spans="1:27" x14ac:dyDescent="0.3">
      <c r="A842" s="1" t="s">
        <v>2998</v>
      </c>
      <c r="B842">
        <v>841</v>
      </c>
      <c r="C842" s="1" t="s">
        <v>2999</v>
      </c>
      <c r="D842" s="1" t="s">
        <v>1232</v>
      </c>
      <c r="E842" s="1" t="s">
        <v>29</v>
      </c>
      <c r="F842" s="1" t="s">
        <v>433</v>
      </c>
      <c r="G842" s="1" t="s">
        <v>33</v>
      </c>
      <c r="H842" s="1" t="s">
        <v>32</v>
      </c>
      <c r="I842" s="1" t="s">
        <v>33</v>
      </c>
      <c r="J842" s="1" t="s">
        <v>33</v>
      </c>
      <c r="K842" s="1" t="s">
        <v>34</v>
      </c>
      <c r="L842">
        <v>1</v>
      </c>
      <c r="M842">
        <v>0</v>
      </c>
      <c r="N842">
        <v>0</v>
      </c>
      <c r="O842">
        <v>2</v>
      </c>
      <c r="P842">
        <v>1</v>
      </c>
      <c r="Q842">
        <v>1</v>
      </c>
      <c r="R842">
        <v>0</v>
      </c>
      <c r="S842">
        <v>0</v>
      </c>
      <c r="T842">
        <v>0</v>
      </c>
      <c r="U842" s="1" t="s">
        <v>434</v>
      </c>
      <c r="V842" s="1">
        <v>0</v>
      </c>
      <c r="W842" s="1">
        <f t="shared" si="13"/>
        <v>0</v>
      </c>
      <c r="X842" s="1" t="s">
        <v>434</v>
      </c>
      <c r="Y842">
        <v>1</v>
      </c>
      <c r="Z842">
        <v>0</v>
      </c>
      <c r="AA842">
        <v>32</v>
      </c>
    </row>
    <row r="843" spans="1:27" x14ac:dyDescent="0.3">
      <c r="A843" s="1" t="s">
        <v>3000</v>
      </c>
      <c r="B843">
        <v>842</v>
      </c>
      <c r="C843" s="1" t="s">
        <v>3001</v>
      </c>
      <c r="D843" s="1" t="s">
        <v>1236</v>
      </c>
      <c r="E843" s="1" t="s">
        <v>39</v>
      </c>
      <c r="F843" s="1" t="s">
        <v>1308</v>
      </c>
      <c r="G843" s="1" t="s">
        <v>313</v>
      </c>
      <c r="H843" s="1" t="s">
        <v>41</v>
      </c>
      <c r="I843" s="1" t="s">
        <v>33</v>
      </c>
      <c r="J843" s="1" t="s">
        <v>33</v>
      </c>
      <c r="K843" s="1" t="s">
        <v>34</v>
      </c>
      <c r="L843">
        <v>1</v>
      </c>
      <c r="M843">
        <v>0</v>
      </c>
      <c r="N843">
        <v>0</v>
      </c>
      <c r="O843">
        <v>3</v>
      </c>
      <c r="P843">
        <v>1</v>
      </c>
      <c r="Q843">
        <v>1</v>
      </c>
      <c r="R843">
        <v>0</v>
      </c>
      <c r="S843">
        <v>0</v>
      </c>
      <c r="T843">
        <v>0</v>
      </c>
      <c r="U843" s="1" t="s">
        <v>439</v>
      </c>
      <c r="V843" s="1">
        <v>0</v>
      </c>
      <c r="W843" s="1">
        <f t="shared" si="13"/>
        <v>0</v>
      </c>
      <c r="X843" s="1" t="s">
        <v>439</v>
      </c>
      <c r="Y843">
        <v>1</v>
      </c>
      <c r="Z843">
        <v>0</v>
      </c>
      <c r="AA843">
        <v>33</v>
      </c>
    </row>
    <row r="844" spans="1:27" x14ac:dyDescent="0.3">
      <c r="A844" s="1" t="s">
        <v>3002</v>
      </c>
      <c r="B844">
        <v>843</v>
      </c>
      <c r="C844" s="1" t="s">
        <v>3003</v>
      </c>
      <c r="D844" s="1" t="s">
        <v>1239</v>
      </c>
      <c r="E844" s="1" t="s">
        <v>41</v>
      </c>
      <c r="F844" s="1" t="s">
        <v>1311</v>
      </c>
      <c r="G844" s="1" t="s">
        <v>318</v>
      </c>
      <c r="H844" s="1" t="s">
        <v>48</v>
      </c>
      <c r="I844" s="1" t="s">
        <v>33</v>
      </c>
      <c r="J844" s="1" t="s">
        <v>33</v>
      </c>
      <c r="K844" s="1" t="s">
        <v>34</v>
      </c>
      <c r="L844">
        <v>2</v>
      </c>
      <c r="M844">
        <v>0</v>
      </c>
      <c r="N844">
        <v>0</v>
      </c>
      <c r="O844">
        <v>4</v>
      </c>
      <c r="P844">
        <v>2</v>
      </c>
      <c r="Q844">
        <v>1</v>
      </c>
      <c r="R844">
        <v>0</v>
      </c>
      <c r="S844">
        <v>0</v>
      </c>
      <c r="T844">
        <v>0</v>
      </c>
      <c r="U844" s="1" t="s">
        <v>1734</v>
      </c>
      <c r="V844" s="1">
        <v>0</v>
      </c>
      <c r="W844" s="1">
        <f t="shared" si="13"/>
        <v>0</v>
      </c>
      <c r="X844" s="1" t="s">
        <v>1734</v>
      </c>
      <c r="Y844">
        <v>1</v>
      </c>
      <c r="Z844">
        <v>0</v>
      </c>
      <c r="AA844">
        <v>34</v>
      </c>
    </row>
    <row r="845" spans="1:27" x14ac:dyDescent="0.3">
      <c r="A845" s="1" t="s">
        <v>3004</v>
      </c>
      <c r="B845">
        <v>844</v>
      </c>
      <c r="C845" s="1" t="s">
        <v>3005</v>
      </c>
      <c r="D845" s="1" t="s">
        <v>1242</v>
      </c>
      <c r="E845" s="1" t="s">
        <v>32</v>
      </c>
      <c r="F845" s="1" t="s">
        <v>1314</v>
      </c>
      <c r="G845" s="1" t="s">
        <v>322</v>
      </c>
      <c r="H845" s="1" t="s">
        <v>55</v>
      </c>
      <c r="I845" s="1" t="s">
        <v>56</v>
      </c>
      <c r="J845" s="1" t="s">
        <v>33</v>
      </c>
      <c r="K845" s="1" t="s">
        <v>34</v>
      </c>
      <c r="L845">
        <v>2</v>
      </c>
      <c r="M845">
        <v>1</v>
      </c>
      <c r="N845">
        <v>0</v>
      </c>
      <c r="O845">
        <v>5</v>
      </c>
      <c r="P845">
        <v>3</v>
      </c>
      <c r="Q845">
        <v>0</v>
      </c>
      <c r="R845">
        <v>1</v>
      </c>
      <c r="S845">
        <v>0</v>
      </c>
      <c r="T845">
        <v>0</v>
      </c>
      <c r="U845" s="1" t="s">
        <v>378</v>
      </c>
      <c r="V845" s="1">
        <v>0</v>
      </c>
      <c r="W845" s="1">
        <f t="shared" si="13"/>
        <v>0</v>
      </c>
      <c r="X845" s="1" t="s">
        <v>378</v>
      </c>
      <c r="Y845">
        <v>1</v>
      </c>
      <c r="Z845">
        <v>0</v>
      </c>
      <c r="AA845">
        <v>35</v>
      </c>
    </row>
    <row r="846" spans="1:27" x14ac:dyDescent="0.3">
      <c r="A846" s="1" t="s">
        <v>3006</v>
      </c>
      <c r="B846">
        <v>845</v>
      </c>
      <c r="C846" s="1" t="s">
        <v>3007</v>
      </c>
      <c r="D846" s="1" t="s">
        <v>1245</v>
      </c>
      <c r="E846" s="1" t="s">
        <v>29</v>
      </c>
      <c r="F846" s="1" t="s">
        <v>453</v>
      </c>
      <c r="G846" s="1" t="s">
        <v>327</v>
      </c>
      <c r="H846" s="1" t="s">
        <v>63</v>
      </c>
      <c r="I846" s="1" t="s">
        <v>64</v>
      </c>
      <c r="J846" s="1" t="s">
        <v>41</v>
      </c>
      <c r="K846" s="1" t="s">
        <v>454</v>
      </c>
      <c r="L846">
        <v>2</v>
      </c>
      <c r="M846">
        <v>0</v>
      </c>
      <c r="N846">
        <v>0</v>
      </c>
      <c r="O846">
        <v>6</v>
      </c>
      <c r="P846">
        <v>2</v>
      </c>
      <c r="Q846">
        <v>0</v>
      </c>
      <c r="R846">
        <v>0</v>
      </c>
      <c r="S846">
        <v>0</v>
      </c>
      <c r="T846">
        <v>0</v>
      </c>
      <c r="U846" s="1" t="s">
        <v>455</v>
      </c>
      <c r="V846" s="1" t="s">
        <v>67</v>
      </c>
      <c r="W846" s="1">
        <f t="shared" si="13"/>
        <v>22.6</v>
      </c>
      <c r="X846" s="1" t="s">
        <v>456</v>
      </c>
      <c r="Y846">
        <v>1</v>
      </c>
      <c r="Z846">
        <v>0</v>
      </c>
      <c r="AA846">
        <v>36</v>
      </c>
    </row>
    <row r="847" spans="1:27" x14ac:dyDescent="0.3">
      <c r="A847" s="1" t="s">
        <v>3008</v>
      </c>
      <c r="B847">
        <v>846</v>
      </c>
      <c r="C847" s="1" t="s">
        <v>3009</v>
      </c>
      <c r="D847" s="1" t="s">
        <v>460</v>
      </c>
      <c r="E847" s="1" t="s">
        <v>39</v>
      </c>
      <c r="F847" s="1" t="s">
        <v>573</v>
      </c>
      <c r="G847" s="1" t="s">
        <v>334</v>
      </c>
      <c r="H847" s="1" t="s">
        <v>74</v>
      </c>
      <c r="I847" s="1" t="s">
        <v>64</v>
      </c>
      <c r="J847" s="1" t="s">
        <v>32</v>
      </c>
      <c r="K847" s="1" t="s">
        <v>3010</v>
      </c>
      <c r="L847">
        <v>3</v>
      </c>
      <c r="M847">
        <v>2</v>
      </c>
      <c r="N847">
        <v>0</v>
      </c>
      <c r="O847">
        <v>1</v>
      </c>
      <c r="P847">
        <v>5</v>
      </c>
      <c r="Q847">
        <v>0</v>
      </c>
      <c r="R847">
        <v>0</v>
      </c>
      <c r="S847">
        <v>0</v>
      </c>
      <c r="T847">
        <v>0</v>
      </c>
      <c r="U847" s="1" t="s">
        <v>3011</v>
      </c>
      <c r="V847" s="1" t="s">
        <v>78</v>
      </c>
      <c r="W847" s="1">
        <f t="shared" si="13"/>
        <v>54.92</v>
      </c>
      <c r="X847" s="1" t="s">
        <v>3012</v>
      </c>
      <c r="Y847">
        <v>1</v>
      </c>
      <c r="Z847">
        <v>0</v>
      </c>
      <c r="AA847">
        <v>37</v>
      </c>
    </row>
    <row r="848" spans="1:27" x14ac:dyDescent="0.3">
      <c r="A848" s="1" t="s">
        <v>3013</v>
      </c>
      <c r="B848">
        <v>847</v>
      </c>
      <c r="C848" s="1" t="s">
        <v>3014</v>
      </c>
      <c r="D848" s="1" t="s">
        <v>342</v>
      </c>
      <c r="E848" s="1" t="s">
        <v>41</v>
      </c>
      <c r="F848" s="1" t="s">
        <v>342</v>
      </c>
      <c r="G848" s="1" t="s">
        <v>342</v>
      </c>
      <c r="H848" s="1" t="s">
        <v>29</v>
      </c>
      <c r="I848" s="1" t="s">
        <v>32</v>
      </c>
      <c r="J848" s="1" t="s">
        <v>32</v>
      </c>
      <c r="K848" s="1" t="s">
        <v>359</v>
      </c>
      <c r="L848">
        <v>3</v>
      </c>
      <c r="M848">
        <v>0</v>
      </c>
      <c r="N848">
        <v>0</v>
      </c>
      <c r="O848">
        <v>2</v>
      </c>
      <c r="P848">
        <v>3</v>
      </c>
      <c r="Q848">
        <v>0</v>
      </c>
      <c r="R848">
        <v>0</v>
      </c>
      <c r="S848">
        <v>1</v>
      </c>
      <c r="T848">
        <v>1</v>
      </c>
      <c r="U848" s="1" t="s">
        <v>360</v>
      </c>
      <c r="V848" s="1" t="s">
        <v>87</v>
      </c>
      <c r="W848" s="1">
        <f t="shared" si="13"/>
        <v>274.58999999999997</v>
      </c>
      <c r="X848" s="1" t="s">
        <v>468</v>
      </c>
      <c r="Y848">
        <v>1</v>
      </c>
      <c r="Z848">
        <v>1</v>
      </c>
      <c r="AA848">
        <v>38</v>
      </c>
    </row>
    <row r="849" spans="1:27" x14ac:dyDescent="0.3">
      <c r="A849" s="1" t="s">
        <v>3015</v>
      </c>
      <c r="B849">
        <v>848</v>
      </c>
      <c r="C849" s="1" t="s">
        <v>3016</v>
      </c>
      <c r="D849" s="1" t="s">
        <v>472</v>
      </c>
      <c r="E849" s="1" t="s">
        <v>32</v>
      </c>
      <c r="F849" s="1" t="s">
        <v>1326</v>
      </c>
      <c r="G849" s="1" t="s">
        <v>351</v>
      </c>
      <c r="H849" s="1" t="s">
        <v>32</v>
      </c>
      <c r="I849" s="1" t="s">
        <v>32</v>
      </c>
      <c r="J849" s="1" t="s">
        <v>74</v>
      </c>
      <c r="K849" s="1" t="s">
        <v>404</v>
      </c>
      <c r="L849">
        <v>3</v>
      </c>
      <c r="M849">
        <v>1</v>
      </c>
      <c r="N849">
        <v>0</v>
      </c>
      <c r="O849">
        <v>3</v>
      </c>
      <c r="P849">
        <v>4</v>
      </c>
      <c r="Q849">
        <v>0</v>
      </c>
      <c r="R849">
        <v>0</v>
      </c>
      <c r="S849">
        <v>1</v>
      </c>
      <c r="T849">
        <v>1</v>
      </c>
      <c r="U849" s="1" t="s">
        <v>405</v>
      </c>
      <c r="V849" s="1" t="s">
        <v>96</v>
      </c>
      <c r="W849" s="1">
        <f t="shared" si="13"/>
        <v>229.39</v>
      </c>
      <c r="X849" s="1" t="s">
        <v>323</v>
      </c>
      <c r="Y849">
        <v>1</v>
      </c>
      <c r="Z849">
        <v>1</v>
      </c>
      <c r="AA849">
        <v>39</v>
      </c>
    </row>
    <row r="850" spans="1:27" x14ac:dyDescent="0.3">
      <c r="A850" s="1" t="s">
        <v>3017</v>
      </c>
      <c r="B850">
        <v>849</v>
      </c>
      <c r="C850" s="1" t="s">
        <v>3018</v>
      </c>
      <c r="D850" s="1" t="s">
        <v>1256</v>
      </c>
      <c r="E850" s="1" t="s">
        <v>29</v>
      </c>
      <c r="F850" s="1" t="s">
        <v>1329</v>
      </c>
      <c r="G850" s="1" t="s">
        <v>358</v>
      </c>
      <c r="H850" s="1" t="s">
        <v>41</v>
      </c>
      <c r="I850" s="1" t="s">
        <v>32</v>
      </c>
      <c r="J850" s="1" t="s">
        <v>29</v>
      </c>
      <c r="K850" s="1" t="s">
        <v>409</v>
      </c>
      <c r="L850">
        <v>3</v>
      </c>
      <c r="M850">
        <v>0</v>
      </c>
      <c r="N850">
        <v>0</v>
      </c>
      <c r="O850">
        <v>4</v>
      </c>
      <c r="P850">
        <v>3</v>
      </c>
      <c r="Q850">
        <v>0</v>
      </c>
      <c r="R850">
        <v>0</v>
      </c>
      <c r="S850">
        <v>1</v>
      </c>
      <c r="T850">
        <v>1</v>
      </c>
      <c r="U850" s="1" t="s">
        <v>409</v>
      </c>
      <c r="V850" s="1" t="s">
        <v>104</v>
      </c>
      <c r="W850" s="1">
        <f t="shared" si="13"/>
        <v>76.84</v>
      </c>
      <c r="X850" s="1" t="s">
        <v>410</v>
      </c>
      <c r="Y850">
        <v>1</v>
      </c>
      <c r="Z850">
        <v>1</v>
      </c>
      <c r="AA850">
        <v>40</v>
      </c>
    </row>
    <row r="851" spans="1:27" x14ac:dyDescent="0.3">
      <c r="A851" s="1" t="s">
        <v>3019</v>
      </c>
      <c r="B851">
        <v>850</v>
      </c>
      <c r="C851" s="1" t="s">
        <v>3020</v>
      </c>
      <c r="D851" s="1" t="s">
        <v>1262</v>
      </c>
      <c r="E851" s="1" t="s">
        <v>39</v>
      </c>
      <c r="F851" s="1" t="s">
        <v>1262</v>
      </c>
      <c r="G851" s="1" t="s">
        <v>364</v>
      </c>
      <c r="H851" s="1" t="s">
        <v>48</v>
      </c>
      <c r="I851" s="1" t="s">
        <v>32</v>
      </c>
      <c r="J851" s="1" t="s">
        <v>75</v>
      </c>
      <c r="K851" s="1" t="s">
        <v>485</v>
      </c>
      <c r="L851">
        <v>1</v>
      </c>
      <c r="M851">
        <v>0</v>
      </c>
      <c r="N851">
        <v>0</v>
      </c>
      <c r="O851">
        <v>5</v>
      </c>
      <c r="P851">
        <v>1</v>
      </c>
      <c r="Q851">
        <v>0</v>
      </c>
      <c r="R851">
        <v>0</v>
      </c>
      <c r="S851">
        <v>1</v>
      </c>
      <c r="T851">
        <v>1</v>
      </c>
      <c r="U851" s="1" t="s">
        <v>486</v>
      </c>
      <c r="V851" s="1" t="s">
        <v>111</v>
      </c>
      <c r="W851" s="1">
        <f t="shared" si="13"/>
        <v>80.229999999999905</v>
      </c>
      <c r="X851" s="1" t="s">
        <v>487</v>
      </c>
      <c r="Y851">
        <v>1</v>
      </c>
      <c r="Z851">
        <v>1</v>
      </c>
      <c r="AA851">
        <v>41</v>
      </c>
    </row>
    <row r="852" spans="1:27" x14ac:dyDescent="0.3">
      <c r="A852" s="1" t="s">
        <v>3021</v>
      </c>
      <c r="B852">
        <v>851</v>
      </c>
      <c r="C852" s="1" t="s">
        <v>3022</v>
      </c>
      <c r="D852" s="1" t="s">
        <v>1269</v>
      </c>
      <c r="E852" s="1" t="s">
        <v>41</v>
      </c>
      <c r="F852" s="1" t="s">
        <v>1339</v>
      </c>
      <c r="G852" s="1" t="s">
        <v>41</v>
      </c>
      <c r="H852" s="1" t="s">
        <v>55</v>
      </c>
      <c r="I852" s="1" t="s">
        <v>32</v>
      </c>
      <c r="J852" s="1" t="s">
        <v>41</v>
      </c>
      <c r="K852" s="1" t="s">
        <v>3023</v>
      </c>
      <c r="L852">
        <v>1</v>
      </c>
      <c r="M852">
        <v>0</v>
      </c>
      <c r="N852">
        <v>0</v>
      </c>
      <c r="O852">
        <v>6</v>
      </c>
      <c r="P852">
        <v>1</v>
      </c>
      <c r="Q852">
        <v>0</v>
      </c>
      <c r="R852">
        <v>0</v>
      </c>
      <c r="S852">
        <v>1</v>
      </c>
      <c r="T852">
        <v>1</v>
      </c>
      <c r="U852" s="1" t="s">
        <v>3024</v>
      </c>
      <c r="V852" s="1" t="s">
        <v>120</v>
      </c>
      <c r="W852" s="1">
        <f t="shared" si="13"/>
        <v>249.39</v>
      </c>
      <c r="X852" s="1" t="s">
        <v>556</v>
      </c>
      <c r="Y852">
        <v>1</v>
      </c>
      <c r="Z852">
        <v>1</v>
      </c>
      <c r="AA852">
        <v>42</v>
      </c>
    </row>
    <row r="853" spans="1:27" x14ac:dyDescent="0.3">
      <c r="A853" s="1" t="s">
        <v>3025</v>
      </c>
      <c r="B853">
        <v>852</v>
      </c>
      <c r="C853" s="1" t="s">
        <v>3026</v>
      </c>
      <c r="D853" s="1" t="s">
        <v>1273</v>
      </c>
      <c r="E853" s="1" t="s">
        <v>32</v>
      </c>
      <c r="F853" s="1" t="s">
        <v>1344</v>
      </c>
      <c r="G853" s="1" t="s">
        <v>375</v>
      </c>
      <c r="H853" s="1" t="s">
        <v>63</v>
      </c>
      <c r="I853" s="1" t="s">
        <v>32</v>
      </c>
      <c r="J853" s="1" t="s">
        <v>32</v>
      </c>
      <c r="K853" s="1" t="s">
        <v>462</v>
      </c>
      <c r="L853">
        <v>1</v>
      </c>
      <c r="M853">
        <v>2</v>
      </c>
      <c r="N853">
        <v>1</v>
      </c>
      <c r="O853">
        <v>1</v>
      </c>
      <c r="P853">
        <v>4</v>
      </c>
      <c r="Q853">
        <v>0</v>
      </c>
      <c r="R853">
        <v>0</v>
      </c>
      <c r="S853">
        <v>1</v>
      </c>
      <c r="T853">
        <v>1</v>
      </c>
      <c r="U853" s="1" t="s">
        <v>462</v>
      </c>
      <c r="V853" s="1" t="s">
        <v>127</v>
      </c>
      <c r="W853" s="1">
        <f t="shared" si="13"/>
        <v>47.46</v>
      </c>
      <c r="X853" s="1" t="s">
        <v>354</v>
      </c>
      <c r="Y853">
        <v>1</v>
      </c>
      <c r="Z853">
        <v>1</v>
      </c>
      <c r="AA853">
        <v>43</v>
      </c>
    </row>
    <row r="854" spans="1:27" x14ac:dyDescent="0.3">
      <c r="A854" s="1" t="s">
        <v>3027</v>
      </c>
      <c r="B854">
        <v>853</v>
      </c>
      <c r="C854" s="1" t="s">
        <v>3028</v>
      </c>
      <c r="D854" s="1" t="s">
        <v>382</v>
      </c>
      <c r="E854" s="1" t="s">
        <v>29</v>
      </c>
      <c r="F854" s="1" t="s">
        <v>382</v>
      </c>
      <c r="G854" s="1" t="s">
        <v>382</v>
      </c>
      <c r="H854" s="1" t="s">
        <v>74</v>
      </c>
      <c r="I854" s="1" t="s">
        <v>32</v>
      </c>
      <c r="J854" s="1" t="s">
        <v>74</v>
      </c>
      <c r="K854" s="1" t="s">
        <v>624</v>
      </c>
      <c r="L854">
        <v>2</v>
      </c>
      <c r="M854">
        <v>0</v>
      </c>
      <c r="N854">
        <v>0</v>
      </c>
      <c r="O854">
        <v>2</v>
      </c>
      <c r="P854">
        <v>2</v>
      </c>
      <c r="Q854">
        <v>0</v>
      </c>
      <c r="R854">
        <v>0</v>
      </c>
      <c r="S854">
        <v>1</v>
      </c>
      <c r="T854">
        <v>1</v>
      </c>
      <c r="U854" s="1" t="s">
        <v>625</v>
      </c>
      <c r="V854" s="1" t="s">
        <v>135</v>
      </c>
      <c r="W854" s="1">
        <f t="shared" si="13"/>
        <v>281.02999999999997</v>
      </c>
      <c r="X854" s="1" t="s">
        <v>626</v>
      </c>
      <c r="Y854">
        <v>1</v>
      </c>
      <c r="Z854">
        <v>1</v>
      </c>
      <c r="AA854">
        <v>44</v>
      </c>
    </row>
    <row r="855" spans="1:27" x14ac:dyDescent="0.3">
      <c r="A855" s="1" t="s">
        <v>3029</v>
      </c>
      <c r="B855">
        <v>854</v>
      </c>
      <c r="C855" s="1" t="s">
        <v>3030</v>
      </c>
      <c r="D855" s="1" t="s">
        <v>1279</v>
      </c>
      <c r="E855" s="1" t="s">
        <v>39</v>
      </c>
      <c r="F855" s="1" t="s">
        <v>1350</v>
      </c>
      <c r="G855" s="1" t="s">
        <v>388</v>
      </c>
      <c r="H855" s="1" t="s">
        <v>29</v>
      </c>
      <c r="I855" s="1" t="s">
        <v>32</v>
      </c>
      <c r="J855" s="1" t="s">
        <v>29</v>
      </c>
      <c r="K855" s="1" t="s">
        <v>631</v>
      </c>
      <c r="L855">
        <v>2</v>
      </c>
      <c r="M855">
        <v>0</v>
      </c>
      <c r="N855">
        <v>0</v>
      </c>
      <c r="O855">
        <v>3</v>
      </c>
      <c r="P855">
        <v>2</v>
      </c>
      <c r="Q855">
        <v>0</v>
      </c>
      <c r="R855">
        <v>0</v>
      </c>
      <c r="S855">
        <v>1</v>
      </c>
      <c r="T855">
        <v>1</v>
      </c>
      <c r="U855" s="1" t="s">
        <v>632</v>
      </c>
      <c r="V855" s="1" t="s">
        <v>144</v>
      </c>
      <c r="W855" s="1">
        <f t="shared" si="13"/>
        <v>202.26999999999899</v>
      </c>
      <c r="X855" s="1" t="s">
        <v>510</v>
      </c>
      <c r="Y855">
        <v>1</v>
      </c>
      <c r="Z855">
        <v>1</v>
      </c>
      <c r="AA855">
        <v>45</v>
      </c>
    </row>
    <row r="856" spans="1:27" x14ac:dyDescent="0.3">
      <c r="A856" s="1" t="s">
        <v>3031</v>
      </c>
      <c r="B856">
        <v>855</v>
      </c>
      <c r="C856" s="1" t="s">
        <v>3032</v>
      </c>
      <c r="D856" s="1" t="s">
        <v>1283</v>
      </c>
      <c r="E856" s="1" t="s">
        <v>41</v>
      </c>
      <c r="F856" s="1" t="s">
        <v>1354</v>
      </c>
      <c r="G856" s="1" t="s">
        <v>395</v>
      </c>
      <c r="H856" s="1" t="s">
        <v>32</v>
      </c>
      <c r="I856" s="1" t="s">
        <v>32</v>
      </c>
      <c r="J856" s="1" t="s">
        <v>75</v>
      </c>
      <c r="K856" s="1" t="s">
        <v>514</v>
      </c>
      <c r="L856">
        <v>2</v>
      </c>
      <c r="M856">
        <v>0</v>
      </c>
      <c r="N856">
        <v>0</v>
      </c>
      <c r="O856">
        <v>4</v>
      </c>
      <c r="P856">
        <v>2</v>
      </c>
      <c r="Q856">
        <v>0</v>
      </c>
      <c r="R856">
        <v>0</v>
      </c>
      <c r="S856">
        <v>1</v>
      </c>
      <c r="T856">
        <v>1</v>
      </c>
      <c r="U856" s="1" t="s">
        <v>514</v>
      </c>
      <c r="V856" s="1" t="s">
        <v>152</v>
      </c>
      <c r="W856" s="1">
        <f t="shared" si="13"/>
        <v>63.28</v>
      </c>
      <c r="X856" s="1" t="s">
        <v>515</v>
      </c>
      <c r="Y856">
        <v>1</v>
      </c>
      <c r="Z856">
        <v>1</v>
      </c>
      <c r="AA856">
        <v>46</v>
      </c>
    </row>
    <row r="857" spans="1:27" x14ac:dyDescent="0.3">
      <c r="A857" s="1" t="s">
        <v>3033</v>
      </c>
      <c r="B857">
        <v>856</v>
      </c>
      <c r="C857" s="1" t="s">
        <v>3034</v>
      </c>
      <c r="D857" s="1" t="s">
        <v>1290</v>
      </c>
      <c r="E857" s="1" t="s">
        <v>32</v>
      </c>
      <c r="F857" s="1" t="s">
        <v>48</v>
      </c>
      <c r="G857" s="1" t="s">
        <v>403</v>
      </c>
      <c r="H857" s="1" t="s">
        <v>41</v>
      </c>
      <c r="I857" s="1" t="s">
        <v>32</v>
      </c>
      <c r="J857" s="1" t="s">
        <v>41</v>
      </c>
      <c r="K857" s="1" t="s">
        <v>376</v>
      </c>
      <c r="L857">
        <v>3</v>
      </c>
      <c r="M857">
        <v>1</v>
      </c>
      <c r="N857">
        <v>0</v>
      </c>
      <c r="O857">
        <v>5</v>
      </c>
      <c r="P857">
        <v>4</v>
      </c>
      <c r="Q857">
        <v>0</v>
      </c>
      <c r="R857">
        <v>0</v>
      </c>
      <c r="S857">
        <v>1</v>
      </c>
      <c r="T857">
        <v>1</v>
      </c>
      <c r="U857" s="1" t="s">
        <v>377</v>
      </c>
      <c r="V857" s="1" t="s">
        <v>161</v>
      </c>
      <c r="W857" s="1">
        <f t="shared" si="13"/>
        <v>66.67</v>
      </c>
      <c r="X857" s="1" t="s">
        <v>378</v>
      </c>
      <c r="Y857">
        <v>1</v>
      </c>
      <c r="Z857">
        <v>1</v>
      </c>
      <c r="AA857">
        <v>47</v>
      </c>
    </row>
    <row r="858" spans="1:27" x14ac:dyDescent="0.3">
      <c r="A858" s="1" t="s">
        <v>3035</v>
      </c>
      <c r="B858">
        <v>857</v>
      </c>
      <c r="C858" s="1" t="s">
        <v>3036</v>
      </c>
      <c r="D858" s="1" t="s">
        <v>1293</v>
      </c>
      <c r="E858" s="1" t="s">
        <v>29</v>
      </c>
      <c r="F858" s="1" t="s">
        <v>1360</v>
      </c>
      <c r="G858" s="1" t="s">
        <v>408</v>
      </c>
      <c r="H858" s="1" t="s">
        <v>48</v>
      </c>
      <c r="I858" s="1" t="s">
        <v>32</v>
      </c>
      <c r="J858" s="1" t="s">
        <v>32</v>
      </c>
      <c r="K858" s="1" t="s">
        <v>525</v>
      </c>
      <c r="L858">
        <v>3</v>
      </c>
      <c r="M858">
        <v>0</v>
      </c>
      <c r="N858">
        <v>0</v>
      </c>
      <c r="O858">
        <v>6</v>
      </c>
      <c r="P858">
        <v>3</v>
      </c>
      <c r="Q858">
        <v>0</v>
      </c>
      <c r="R858">
        <v>0</v>
      </c>
      <c r="S858">
        <v>1</v>
      </c>
      <c r="T858">
        <v>1</v>
      </c>
      <c r="U858" s="1" t="s">
        <v>526</v>
      </c>
      <c r="V858" s="1" t="s">
        <v>169</v>
      </c>
      <c r="W858" s="1">
        <f t="shared" si="13"/>
        <v>270.07</v>
      </c>
      <c r="X858" s="1" t="s">
        <v>310</v>
      </c>
      <c r="Y858">
        <v>1</v>
      </c>
      <c r="Z858">
        <v>1</v>
      </c>
      <c r="AA858">
        <v>48</v>
      </c>
    </row>
    <row r="859" spans="1:27" x14ac:dyDescent="0.3">
      <c r="A859" s="1" t="s">
        <v>3037</v>
      </c>
      <c r="B859">
        <v>858</v>
      </c>
      <c r="C859" s="1" t="s">
        <v>3038</v>
      </c>
      <c r="D859" s="1" t="s">
        <v>1296</v>
      </c>
      <c r="E859" s="1" t="s">
        <v>39</v>
      </c>
      <c r="F859" s="1" t="s">
        <v>1363</v>
      </c>
      <c r="G859" s="1" t="s">
        <v>413</v>
      </c>
      <c r="H859" s="1" t="s">
        <v>55</v>
      </c>
      <c r="I859" s="1" t="s">
        <v>32</v>
      </c>
      <c r="J859" s="1" t="s">
        <v>74</v>
      </c>
      <c r="K859" s="1" t="s">
        <v>462</v>
      </c>
      <c r="L859">
        <v>3</v>
      </c>
      <c r="M859">
        <v>2</v>
      </c>
      <c r="N859">
        <v>0</v>
      </c>
      <c r="O859">
        <v>1</v>
      </c>
      <c r="P859">
        <v>5</v>
      </c>
      <c r="Q859">
        <v>0</v>
      </c>
      <c r="R859">
        <v>0</v>
      </c>
      <c r="S859">
        <v>1</v>
      </c>
      <c r="T859">
        <v>1</v>
      </c>
      <c r="U859" s="1" t="s">
        <v>462</v>
      </c>
      <c r="V859" s="1" t="s">
        <v>177</v>
      </c>
      <c r="W859" s="1">
        <f t="shared" si="13"/>
        <v>61.02</v>
      </c>
      <c r="X859" s="1" t="s">
        <v>463</v>
      </c>
      <c r="Y859">
        <v>1</v>
      </c>
      <c r="Z859">
        <v>1</v>
      </c>
      <c r="AA859">
        <v>49</v>
      </c>
    </row>
    <row r="860" spans="1:27" x14ac:dyDescent="0.3">
      <c r="A860" s="1" t="s">
        <v>3039</v>
      </c>
      <c r="B860">
        <v>859</v>
      </c>
      <c r="C860" s="1" t="s">
        <v>3040</v>
      </c>
      <c r="D860" s="1" t="s">
        <v>1299</v>
      </c>
      <c r="E860" s="1" t="s">
        <v>41</v>
      </c>
      <c r="F860" s="1" t="s">
        <v>1367</v>
      </c>
      <c r="G860" s="1" t="s">
        <v>420</v>
      </c>
      <c r="H860" s="1" t="s">
        <v>63</v>
      </c>
      <c r="I860" s="1" t="s">
        <v>32</v>
      </c>
      <c r="J860" s="1" t="s">
        <v>29</v>
      </c>
      <c r="K860" s="1" t="s">
        <v>2663</v>
      </c>
      <c r="L860">
        <v>3</v>
      </c>
      <c r="M860">
        <v>0</v>
      </c>
      <c r="N860">
        <v>0</v>
      </c>
      <c r="O860">
        <v>2</v>
      </c>
      <c r="P860">
        <v>3</v>
      </c>
      <c r="Q860">
        <v>0</v>
      </c>
      <c r="R860">
        <v>0</v>
      </c>
      <c r="S860">
        <v>1</v>
      </c>
      <c r="T860">
        <v>1</v>
      </c>
      <c r="U860" s="1" t="s">
        <v>1545</v>
      </c>
      <c r="V860" s="1" t="s">
        <v>184</v>
      </c>
      <c r="W860" s="1">
        <f t="shared" si="13"/>
        <v>265.77999999999997</v>
      </c>
      <c r="X860" s="1" t="s">
        <v>468</v>
      </c>
      <c r="Y860">
        <v>1</v>
      </c>
      <c r="Z860">
        <v>1</v>
      </c>
      <c r="AA860">
        <v>50</v>
      </c>
    </row>
    <row r="861" spans="1:27" x14ac:dyDescent="0.3">
      <c r="A861" s="1" t="s">
        <v>3041</v>
      </c>
      <c r="B861">
        <v>860</v>
      </c>
      <c r="C861" s="1" t="s">
        <v>3042</v>
      </c>
      <c r="D861" s="1" t="s">
        <v>1302</v>
      </c>
      <c r="E861" s="1" t="s">
        <v>32</v>
      </c>
      <c r="F861" s="1" t="s">
        <v>1371</v>
      </c>
      <c r="G861" s="1" t="s">
        <v>427</v>
      </c>
      <c r="H861" s="1" t="s">
        <v>74</v>
      </c>
      <c r="I861" s="1" t="s">
        <v>32</v>
      </c>
      <c r="J861" s="1" t="s">
        <v>75</v>
      </c>
      <c r="K861" s="1" t="s">
        <v>3043</v>
      </c>
      <c r="L861">
        <v>1</v>
      </c>
      <c r="M861">
        <v>1</v>
      </c>
      <c r="N861">
        <v>0</v>
      </c>
      <c r="O861">
        <v>3</v>
      </c>
      <c r="P861">
        <v>2</v>
      </c>
      <c r="Q861">
        <v>0</v>
      </c>
      <c r="R861">
        <v>0</v>
      </c>
      <c r="S861">
        <v>1</v>
      </c>
      <c r="T861">
        <v>1</v>
      </c>
      <c r="U861" s="1" t="s">
        <v>3044</v>
      </c>
      <c r="V861" s="1" t="s">
        <v>192</v>
      </c>
      <c r="W861" s="1">
        <f t="shared" si="13"/>
        <v>220.58</v>
      </c>
      <c r="X861" s="1" t="s">
        <v>543</v>
      </c>
      <c r="Y861">
        <v>1</v>
      </c>
      <c r="Z861">
        <v>1</v>
      </c>
      <c r="AA861">
        <v>51</v>
      </c>
    </row>
    <row r="862" spans="1:27" x14ac:dyDescent="0.3">
      <c r="A862" s="1" t="s">
        <v>3045</v>
      </c>
      <c r="B862">
        <v>861</v>
      </c>
      <c r="C862" s="1" t="s">
        <v>3046</v>
      </c>
      <c r="D862" s="1" t="s">
        <v>547</v>
      </c>
      <c r="E862" s="1" t="s">
        <v>29</v>
      </c>
      <c r="F862" s="1" t="s">
        <v>1375</v>
      </c>
      <c r="G862" s="1" t="s">
        <v>433</v>
      </c>
      <c r="H862" s="1" t="s">
        <v>29</v>
      </c>
      <c r="I862" s="1" t="s">
        <v>33</v>
      </c>
      <c r="J862" s="1" t="s">
        <v>33</v>
      </c>
      <c r="K862" s="1" t="s">
        <v>34</v>
      </c>
      <c r="L862">
        <v>1</v>
      </c>
      <c r="M862">
        <v>0</v>
      </c>
      <c r="N862">
        <v>0</v>
      </c>
      <c r="O862">
        <v>4</v>
      </c>
      <c r="P862">
        <v>1</v>
      </c>
      <c r="Q862">
        <v>1</v>
      </c>
      <c r="R862">
        <v>0</v>
      </c>
      <c r="S862">
        <v>0</v>
      </c>
      <c r="T862">
        <v>0</v>
      </c>
      <c r="U862" s="1" t="s">
        <v>1158</v>
      </c>
      <c r="V862" s="1">
        <v>0</v>
      </c>
      <c r="W862" s="1">
        <f t="shared" si="13"/>
        <v>0</v>
      </c>
      <c r="X862" s="1" t="s">
        <v>1158</v>
      </c>
      <c r="Y862">
        <v>1</v>
      </c>
      <c r="Z862">
        <v>0</v>
      </c>
      <c r="AA862">
        <v>52</v>
      </c>
    </row>
    <row r="863" spans="1:27" x14ac:dyDescent="0.3">
      <c r="A863" s="1" t="s">
        <v>3047</v>
      </c>
      <c r="B863">
        <v>862</v>
      </c>
      <c r="C863" s="1" t="s">
        <v>3048</v>
      </c>
      <c r="D863" s="1" t="s">
        <v>1307</v>
      </c>
      <c r="E863" s="1" t="s">
        <v>39</v>
      </c>
      <c r="F863" s="1" t="s">
        <v>1379</v>
      </c>
      <c r="G863" s="1" t="s">
        <v>438</v>
      </c>
      <c r="H863" s="1" t="s">
        <v>32</v>
      </c>
      <c r="I863" s="1" t="s">
        <v>33</v>
      </c>
      <c r="J863" s="1" t="s">
        <v>33</v>
      </c>
      <c r="K863" s="1" t="s">
        <v>34</v>
      </c>
      <c r="L863">
        <v>1</v>
      </c>
      <c r="M863">
        <v>0</v>
      </c>
      <c r="N863">
        <v>0</v>
      </c>
      <c r="O863">
        <v>5</v>
      </c>
      <c r="P863">
        <v>1</v>
      </c>
      <c r="Q863">
        <v>1</v>
      </c>
      <c r="R863">
        <v>0</v>
      </c>
      <c r="S863">
        <v>0</v>
      </c>
      <c r="T863">
        <v>0</v>
      </c>
      <c r="U863" s="1" t="s">
        <v>416</v>
      </c>
      <c r="V863" s="1">
        <v>0</v>
      </c>
      <c r="W863" s="1">
        <f t="shared" si="13"/>
        <v>0</v>
      </c>
      <c r="X863" s="1" t="s">
        <v>416</v>
      </c>
      <c r="Y863">
        <v>1</v>
      </c>
      <c r="Z863">
        <v>0</v>
      </c>
      <c r="AA863">
        <v>53</v>
      </c>
    </row>
    <row r="864" spans="1:27" x14ac:dyDescent="0.3">
      <c r="A864" s="1" t="s">
        <v>3049</v>
      </c>
      <c r="B864">
        <v>863</v>
      </c>
      <c r="C864" s="1" t="s">
        <v>3050</v>
      </c>
      <c r="D864" s="1" t="s">
        <v>1311</v>
      </c>
      <c r="E864" s="1" t="s">
        <v>41</v>
      </c>
      <c r="F864" s="1" t="s">
        <v>1382</v>
      </c>
      <c r="G864" s="1" t="s">
        <v>444</v>
      </c>
      <c r="H864" s="1" t="s">
        <v>41</v>
      </c>
      <c r="I864" s="1" t="s">
        <v>33</v>
      </c>
      <c r="J864" s="1" t="s">
        <v>33</v>
      </c>
      <c r="K864" s="1" t="s">
        <v>34</v>
      </c>
      <c r="L864">
        <v>2</v>
      </c>
      <c r="M864">
        <v>0</v>
      </c>
      <c r="N864">
        <v>0</v>
      </c>
      <c r="O864">
        <v>6</v>
      </c>
      <c r="P864">
        <v>2</v>
      </c>
      <c r="Q864">
        <v>1</v>
      </c>
      <c r="R864">
        <v>0</v>
      </c>
      <c r="S864">
        <v>0</v>
      </c>
      <c r="T864">
        <v>0</v>
      </c>
      <c r="U864" s="1" t="s">
        <v>556</v>
      </c>
      <c r="V864" s="1">
        <v>0</v>
      </c>
      <c r="W864" s="1">
        <f t="shared" si="13"/>
        <v>0</v>
      </c>
      <c r="X864" s="1" t="s">
        <v>556</v>
      </c>
      <c r="Y864">
        <v>1</v>
      </c>
      <c r="Z864">
        <v>0</v>
      </c>
      <c r="AA864">
        <v>54</v>
      </c>
    </row>
    <row r="865" spans="1:27" x14ac:dyDescent="0.3">
      <c r="A865" s="1" t="s">
        <v>3051</v>
      </c>
      <c r="B865">
        <v>864</v>
      </c>
      <c r="C865" s="1" t="s">
        <v>3052</v>
      </c>
      <c r="D865" s="1" t="s">
        <v>1314</v>
      </c>
      <c r="E865" s="1" t="s">
        <v>32</v>
      </c>
      <c r="F865" s="1" t="s">
        <v>56</v>
      </c>
      <c r="G865" s="1" t="s">
        <v>448</v>
      </c>
      <c r="H865" s="1" t="s">
        <v>48</v>
      </c>
      <c r="I865" s="1" t="s">
        <v>56</v>
      </c>
      <c r="J865" s="1" t="s">
        <v>33</v>
      </c>
      <c r="K865" s="1" t="s">
        <v>34</v>
      </c>
      <c r="L865">
        <v>2</v>
      </c>
      <c r="M865">
        <v>2</v>
      </c>
      <c r="N865">
        <v>1</v>
      </c>
      <c r="O865">
        <v>1</v>
      </c>
      <c r="P865">
        <v>5</v>
      </c>
      <c r="Q865">
        <v>0</v>
      </c>
      <c r="R865">
        <v>1</v>
      </c>
      <c r="S865">
        <v>0</v>
      </c>
      <c r="T865">
        <v>0</v>
      </c>
      <c r="U865" s="1" t="s">
        <v>497</v>
      </c>
      <c r="V865" s="1">
        <v>0</v>
      </c>
      <c r="W865" s="1">
        <f t="shared" si="13"/>
        <v>0</v>
      </c>
      <c r="X865" s="1" t="s">
        <v>497</v>
      </c>
      <c r="Y865">
        <v>1</v>
      </c>
      <c r="Z865">
        <v>0</v>
      </c>
      <c r="AA865">
        <v>55</v>
      </c>
    </row>
    <row r="866" spans="1:27" x14ac:dyDescent="0.3">
      <c r="A866" s="1" t="s">
        <v>3053</v>
      </c>
      <c r="B866">
        <v>865</v>
      </c>
      <c r="C866" s="1" t="s">
        <v>3054</v>
      </c>
      <c r="D866" s="1" t="s">
        <v>1317</v>
      </c>
      <c r="E866" s="1" t="s">
        <v>29</v>
      </c>
      <c r="F866" s="1" t="s">
        <v>1317</v>
      </c>
      <c r="G866" s="1" t="s">
        <v>453</v>
      </c>
      <c r="H866" s="1" t="s">
        <v>55</v>
      </c>
      <c r="I866" s="1" t="s">
        <v>64</v>
      </c>
      <c r="J866" s="1" t="s">
        <v>32</v>
      </c>
      <c r="K866" s="1" t="s">
        <v>567</v>
      </c>
      <c r="L866">
        <v>2</v>
      </c>
      <c r="M866">
        <v>0</v>
      </c>
      <c r="N866">
        <v>0</v>
      </c>
      <c r="O866">
        <v>2</v>
      </c>
      <c r="P866">
        <v>2</v>
      </c>
      <c r="Q866">
        <v>0</v>
      </c>
      <c r="R866">
        <v>0</v>
      </c>
      <c r="S866">
        <v>0</v>
      </c>
      <c r="T866">
        <v>0</v>
      </c>
      <c r="U866" s="1" t="s">
        <v>568</v>
      </c>
      <c r="V866" s="1" t="s">
        <v>219</v>
      </c>
      <c r="W866" s="1">
        <f t="shared" si="13"/>
        <v>206.79</v>
      </c>
      <c r="X866" s="1" t="s">
        <v>569</v>
      </c>
      <c r="Y866">
        <v>1</v>
      </c>
      <c r="Z866">
        <v>0</v>
      </c>
      <c r="AA866">
        <v>56</v>
      </c>
    </row>
    <row r="867" spans="1:27" x14ac:dyDescent="0.3">
      <c r="A867" s="1" t="s">
        <v>3055</v>
      </c>
      <c r="B867">
        <v>866</v>
      </c>
      <c r="C867" s="1" t="s">
        <v>3056</v>
      </c>
      <c r="D867" s="1" t="s">
        <v>573</v>
      </c>
      <c r="E867" s="1" t="s">
        <v>39</v>
      </c>
      <c r="F867" s="1" t="s">
        <v>64</v>
      </c>
      <c r="G867" s="1" t="s">
        <v>460</v>
      </c>
      <c r="H867" s="1" t="s">
        <v>63</v>
      </c>
      <c r="I867" s="1" t="s">
        <v>64</v>
      </c>
      <c r="J867" s="1" t="s">
        <v>74</v>
      </c>
      <c r="K867" s="1" t="s">
        <v>574</v>
      </c>
      <c r="L867">
        <v>3</v>
      </c>
      <c r="M867">
        <v>0</v>
      </c>
      <c r="N867">
        <v>0</v>
      </c>
      <c r="O867">
        <v>3</v>
      </c>
      <c r="P867">
        <v>3</v>
      </c>
      <c r="Q867">
        <v>0</v>
      </c>
      <c r="R867">
        <v>0</v>
      </c>
      <c r="S867">
        <v>0</v>
      </c>
      <c r="T867">
        <v>0</v>
      </c>
      <c r="U867" s="1" t="s">
        <v>57</v>
      </c>
      <c r="V867" s="1" t="s">
        <v>226</v>
      </c>
      <c r="W867" s="1">
        <f t="shared" si="13"/>
        <v>94.92</v>
      </c>
      <c r="X867" s="1" t="s">
        <v>439</v>
      </c>
      <c r="Y867">
        <v>1</v>
      </c>
      <c r="Z867">
        <v>0</v>
      </c>
      <c r="AA867">
        <v>57</v>
      </c>
    </row>
    <row r="868" spans="1:27" x14ac:dyDescent="0.3">
      <c r="A868" s="1" t="s">
        <v>3057</v>
      </c>
      <c r="B868">
        <v>867</v>
      </c>
      <c r="C868" s="1" t="s">
        <v>3058</v>
      </c>
      <c r="D868" s="1" t="s">
        <v>1322</v>
      </c>
      <c r="E868" s="1" t="s">
        <v>41</v>
      </c>
      <c r="F868" s="1" t="s">
        <v>578</v>
      </c>
      <c r="G868" s="1" t="s">
        <v>467</v>
      </c>
      <c r="H868" s="1" t="s">
        <v>74</v>
      </c>
      <c r="I868" s="1" t="s">
        <v>32</v>
      </c>
      <c r="J868" s="1" t="s">
        <v>74</v>
      </c>
      <c r="K868" s="1" t="s">
        <v>2684</v>
      </c>
      <c r="L868">
        <v>3</v>
      </c>
      <c r="M868">
        <v>0</v>
      </c>
      <c r="N868">
        <v>0</v>
      </c>
      <c r="O868">
        <v>4</v>
      </c>
      <c r="P868">
        <v>3</v>
      </c>
      <c r="Q868">
        <v>0</v>
      </c>
      <c r="R868">
        <v>0</v>
      </c>
      <c r="S868">
        <v>1</v>
      </c>
      <c r="T868">
        <v>1</v>
      </c>
      <c r="U868" s="1" t="s">
        <v>2684</v>
      </c>
      <c r="V868" s="1" t="s">
        <v>232</v>
      </c>
      <c r="W868" s="1">
        <f t="shared" si="13"/>
        <v>56.95</v>
      </c>
      <c r="X868" s="1" t="s">
        <v>1734</v>
      </c>
      <c r="Y868">
        <v>1</v>
      </c>
      <c r="Z868">
        <v>1</v>
      </c>
      <c r="AA868">
        <v>58</v>
      </c>
    </row>
    <row r="869" spans="1:27" x14ac:dyDescent="0.3">
      <c r="A869" s="1" t="s">
        <v>3059</v>
      </c>
      <c r="B869">
        <v>868</v>
      </c>
      <c r="C869" s="1" t="s">
        <v>3060</v>
      </c>
      <c r="D869" s="1" t="s">
        <v>1325</v>
      </c>
      <c r="E869" s="1" t="s">
        <v>32</v>
      </c>
      <c r="F869" s="1" t="s">
        <v>1325</v>
      </c>
      <c r="G869" s="1" t="s">
        <v>472</v>
      </c>
      <c r="H869" s="1" t="s">
        <v>29</v>
      </c>
      <c r="I869" s="1" t="s">
        <v>32</v>
      </c>
      <c r="J869" s="1" t="s">
        <v>29</v>
      </c>
      <c r="K869" s="1" t="s">
        <v>376</v>
      </c>
      <c r="L869">
        <v>3</v>
      </c>
      <c r="M869">
        <v>1</v>
      </c>
      <c r="N869">
        <v>0</v>
      </c>
      <c r="O869">
        <v>5</v>
      </c>
      <c r="P869">
        <v>4</v>
      </c>
      <c r="Q869">
        <v>0</v>
      </c>
      <c r="R869">
        <v>0</v>
      </c>
      <c r="S869">
        <v>1</v>
      </c>
      <c r="T869">
        <v>1</v>
      </c>
      <c r="U869" s="1" t="s">
        <v>377</v>
      </c>
      <c r="V869" s="1" t="s">
        <v>161</v>
      </c>
      <c r="W869" s="1">
        <f t="shared" si="13"/>
        <v>66.67</v>
      </c>
      <c r="X869" s="1" t="s">
        <v>378</v>
      </c>
      <c r="Y869">
        <v>1</v>
      </c>
      <c r="Z869">
        <v>1</v>
      </c>
      <c r="AA869">
        <v>59</v>
      </c>
    </row>
    <row r="870" spans="1:27" x14ac:dyDescent="0.3">
      <c r="A870" s="1" t="s">
        <v>3061</v>
      </c>
      <c r="B870">
        <v>869</v>
      </c>
      <c r="C870" s="1" t="s">
        <v>3062</v>
      </c>
      <c r="D870" s="1" t="s">
        <v>1329</v>
      </c>
      <c r="E870" s="1" t="s">
        <v>29</v>
      </c>
      <c r="F870" s="1" t="s">
        <v>1407</v>
      </c>
      <c r="G870" s="1" t="s">
        <v>480</v>
      </c>
      <c r="H870" s="1" t="s">
        <v>32</v>
      </c>
      <c r="I870" s="1" t="s">
        <v>32</v>
      </c>
      <c r="J870" s="1" t="s">
        <v>75</v>
      </c>
      <c r="K870" s="1" t="s">
        <v>525</v>
      </c>
      <c r="L870">
        <v>3</v>
      </c>
      <c r="M870">
        <v>0</v>
      </c>
      <c r="N870">
        <v>0</v>
      </c>
      <c r="O870">
        <v>6</v>
      </c>
      <c r="P870">
        <v>3</v>
      </c>
      <c r="Q870">
        <v>0</v>
      </c>
      <c r="R870">
        <v>0</v>
      </c>
      <c r="S870">
        <v>1</v>
      </c>
      <c r="T870">
        <v>1</v>
      </c>
      <c r="U870" s="1" t="s">
        <v>526</v>
      </c>
      <c r="V870" s="1" t="s">
        <v>169</v>
      </c>
      <c r="W870" s="1">
        <f t="shared" si="13"/>
        <v>270.07</v>
      </c>
      <c r="X870" s="1" t="s">
        <v>310</v>
      </c>
      <c r="Y870">
        <v>1</v>
      </c>
      <c r="Z870">
        <v>1</v>
      </c>
      <c r="AA870">
        <v>60</v>
      </c>
    </row>
    <row r="871" spans="1:27" x14ac:dyDescent="0.3">
      <c r="A871" s="1" t="s">
        <v>3063</v>
      </c>
      <c r="B871">
        <v>870</v>
      </c>
      <c r="C871" s="1" t="s">
        <v>3064</v>
      </c>
      <c r="D871" s="1" t="s">
        <v>1332</v>
      </c>
      <c r="E871" s="1" t="s">
        <v>39</v>
      </c>
      <c r="F871" s="1" t="s">
        <v>1410</v>
      </c>
      <c r="G871" s="1" t="s">
        <v>39</v>
      </c>
      <c r="H871" s="1" t="s">
        <v>41</v>
      </c>
      <c r="I871" s="1" t="s">
        <v>32</v>
      </c>
      <c r="J871" s="1" t="s">
        <v>41</v>
      </c>
      <c r="K871" s="1" t="s">
        <v>1194</v>
      </c>
      <c r="L871">
        <v>1</v>
      </c>
      <c r="M871">
        <v>2</v>
      </c>
      <c r="N871">
        <v>0</v>
      </c>
      <c r="O871">
        <v>1</v>
      </c>
      <c r="P871">
        <v>3</v>
      </c>
      <c r="Q871">
        <v>0</v>
      </c>
      <c r="R871">
        <v>0</v>
      </c>
      <c r="S871">
        <v>1</v>
      </c>
      <c r="T871">
        <v>1</v>
      </c>
      <c r="U871" s="1" t="s">
        <v>1194</v>
      </c>
      <c r="V871" s="1" t="s">
        <v>177</v>
      </c>
      <c r="W871" s="1">
        <f t="shared" si="13"/>
        <v>61.02</v>
      </c>
      <c r="X871" s="1" t="s">
        <v>1195</v>
      </c>
      <c r="Y871">
        <v>1</v>
      </c>
      <c r="Z871">
        <v>1</v>
      </c>
      <c r="AA871">
        <v>61</v>
      </c>
    </row>
    <row r="872" spans="1:27" x14ac:dyDescent="0.3">
      <c r="A872" s="1" t="s">
        <v>3065</v>
      </c>
      <c r="B872">
        <v>871</v>
      </c>
      <c r="C872" s="1" t="s">
        <v>3066</v>
      </c>
      <c r="D872" s="1" t="s">
        <v>1338</v>
      </c>
      <c r="E872" s="1" t="s">
        <v>41</v>
      </c>
      <c r="F872" s="1" t="s">
        <v>712</v>
      </c>
      <c r="G872" s="1" t="s">
        <v>492</v>
      </c>
      <c r="H872" s="1" t="s">
        <v>48</v>
      </c>
      <c r="I872" s="1" t="s">
        <v>32</v>
      </c>
      <c r="J872" s="1" t="s">
        <v>32</v>
      </c>
      <c r="K872" s="1" t="s">
        <v>359</v>
      </c>
      <c r="L872">
        <v>1</v>
      </c>
      <c r="M872">
        <v>0</v>
      </c>
      <c r="N872">
        <v>0</v>
      </c>
      <c r="O872">
        <v>2</v>
      </c>
      <c r="P872">
        <v>1</v>
      </c>
      <c r="Q872">
        <v>0</v>
      </c>
      <c r="R872">
        <v>0</v>
      </c>
      <c r="S872">
        <v>1</v>
      </c>
      <c r="T872">
        <v>1</v>
      </c>
      <c r="U872" s="1" t="s">
        <v>360</v>
      </c>
      <c r="V872" s="1" t="s">
        <v>87</v>
      </c>
      <c r="W872" s="1">
        <f t="shared" si="13"/>
        <v>274.58999999999997</v>
      </c>
      <c r="X872" s="1" t="s">
        <v>468</v>
      </c>
      <c r="Y872">
        <v>1</v>
      </c>
      <c r="Z872">
        <v>1</v>
      </c>
      <c r="AA872">
        <v>62</v>
      </c>
    </row>
    <row r="873" spans="1:27" x14ac:dyDescent="0.3">
      <c r="A873" s="1" t="s">
        <v>3067</v>
      </c>
      <c r="B873">
        <v>872</v>
      </c>
      <c r="C873" s="1" t="s">
        <v>3068</v>
      </c>
      <c r="D873" s="1" t="s">
        <v>1344</v>
      </c>
      <c r="E873" s="1" t="s">
        <v>32</v>
      </c>
      <c r="F873" s="1" t="s">
        <v>718</v>
      </c>
      <c r="G873" s="1" t="s">
        <v>495</v>
      </c>
      <c r="H873" s="1" t="s">
        <v>55</v>
      </c>
      <c r="I873" s="1" t="s">
        <v>32</v>
      </c>
      <c r="J873" s="1" t="s">
        <v>74</v>
      </c>
      <c r="K873" s="1" t="s">
        <v>1748</v>
      </c>
      <c r="L873">
        <v>1</v>
      </c>
      <c r="M873">
        <v>1</v>
      </c>
      <c r="N873">
        <v>0</v>
      </c>
      <c r="O873">
        <v>3</v>
      </c>
      <c r="P873">
        <v>2</v>
      </c>
      <c r="Q873">
        <v>0</v>
      </c>
      <c r="R873">
        <v>0</v>
      </c>
      <c r="S873">
        <v>1</v>
      </c>
      <c r="T873">
        <v>1</v>
      </c>
      <c r="U873" s="1" t="s">
        <v>1749</v>
      </c>
      <c r="V873" s="1" t="s">
        <v>257</v>
      </c>
      <c r="W873" s="1">
        <f t="shared" si="13"/>
        <v>222.95</v>
      </c>
      <c r="X873" s="1" t="s">
        <v>323</v>
      </c>
      <c r="Y873">
        <v>1</v>
      </c>
      <c r="Z873">
        <v>1</v>
      </c>
      <c r="AA873">
        <v>63</v>
      </c>
    </row>
    <row r="874" spans="1:27" x14ac:dyDescent="0.3">
      <c r="A874" s="1" t="s">
        <v>3069</v>
      </c>
      <c r="B874">
        <v>873</v>
      </c>
      <c r="C874" s="1" t="s">
        <v>3070</v>
      </c>
      <c r="D874" s="1" t="s">
        <v>1347</v>
      </c>
      <c r="E874" s="1" t="s">
        <v>29</v>
      </c>
      <c r="F874" s="1" t="s">
        <v>29</v>
      </c>
      <c r="G874" s="1" t="s">
        <v>502</v>
      </c>
      <c r="H874" s="1" t="s">
        <v>63</v>
      </c>
      <c r="I874" s="1" t="s">
        <v>32</v>
      </c>
      <c r="J874" s="1" t="s">
        <v>29</v>
      </c>
      <c r="K874" s="1" t="s">
        <v>1752</v>
      </c>
      <c r="L874">
        <v>2</v>
      </c>
      <c r="M874">
        <v>0</v>
      </c>
      <c r="N874">
        <v>0</v>
      </c>
      <c r="O874">
        <v>4</v>
      </c>
      <c r="P874">
        <v>2</v>
      </c>
      <c r="Q874">
        <v>0</v>
      </c>
      <c r="R874">
        <v>0</v>
      </c>
      <c r="S874">
        <v>1</v>
      </c>
      <c r="T874">
        <v>1</v>
      </c>
      <c r="U874" s="1" t="s">
        <v>1752</v>
      </c>
      <c r="V874" s="1" t="s">
        <v>104</v>
      </c>
      <c r="W874" s="1">
        <f t="shared" si="13"/>
        <v>76.84</v>
      </c>
      <c r="X874" s="1" t="s">
        <v>1753</v>
      </c>
      <c r="Y874">
        <v>1</v>
      </c>
      <c r="Z874">
        <v>1</v>
      </c>
      <c r="AA874">
        <v>64</v>
      </c>
    </row>
    <row r="875" spans="1:27" x14ac:dyDescent="0.3">
      <c r="A875" s="1" t="s">
        <v>3071</v>
      </c>
      <c r="B875">
        <v>874</v>
      </c>
      <c r="C875" s="1" t="s">
        <v>3072</v>
      </c>
      <c r="D875" s="1" t="s">
        <v>506</v>
      </c>
      <c r="E875" s="1" t="s">
        <v>39</v>
      </c>
      <c r="F875" s="1" t="s">
        <v>506</v>
      </c>
      <c r="G875" s="1" t="s">
        <v>506</v>
      </c>
      <c r="H875" s="1" t="s">
        <v>74</v>
      </c>
      <c r="I875" s="1" t="s">
        <v>32</v>
      </c>
      <c r="J875" s="1" t="s">
        <v>75</v>
      </c>
      <c r="K875" s="1" t="s">
        <v>2257</v>
      </c>
      <c r="L875">
        <v>2</v>
      </c>
      <c r="M875">
        <v>0</v>
      </c>
      <c r="N875">
        <v>0</v>
      </c>
      <c r="O875">
        <v>5</v>
      </c>
      <c r="P875">
        <v>2</v>
      </c>
      <c r="Q875">
        <v>0</v>
      </c>
      <c r="R875">
        <v>0</v>
      </c>
      <c r="S875">
        <v>1</v>
      </c>
      <c r="T875">
        <v>1</v>
      </c>
      <c r="U875" s="1" t="s">
        <v>2258</v>
      </c>
      <c r="V875" s="1" t="s">
        <v>270</v>
      </c>
      <c r="W875" s="1">
        <f t="shared" si="13"/>
        <v>73.789999999999907</v>
      </c>
      <c r="X875" s="1" t="s">
        <v>337</v>
      </c>
      <c r="Y875">
        <v>1</v>
      </c>
      <c r="Z875">
        <v>1</v>
      </c>
      <c r="AA875">
        <v>65</v>
      </c>
    </row>
    <row r="876" spans="1:27" x14ac:dyDescent="0.3">
      <c r="A876" s="1" t="s">
        <v>3073</v>
      </c>
      <c r="B876">
        <v>875</v>
      </c>
      <c r="C876" s="1" t="s">
        <v>3074</v>
      </c>
      <c r="D876" s="1" t="s">
        <v>1353</v>
      </c>
      <c r="E876" s="1" t="s">
        <v>41</v>
      </c>
      <c r="F876" s="1" t="s">
        <v>1433</v>
      </c>
      <c r="G876" s="1" t="s">
        <v>513</v>
      </c>
      <c r="H876" s="1" t="s">
        <v>29</v>
      </c>
      <c r="I876" s="1" t="s">
        <v>32</v>
      </c>
      <c r="J876" s="1" t="s">
        <v>41</v>
      </c>
      <c r="K876" s="1" t="s">
        <v>1825</v>
      </c>
      <c r="L876">
        <v>2</v>
      </c>
      <c r="M876">
        <v>0</v>
      </c>
      <c r="N876">
        <v>0</v>
      </c>
      <c r="O876">
        <v>6</v>
      </c>
      <c r="P876">
        <v>2</v>
      </c>
      <c r="Q876">
        <v>0</v>
      </c>
      <c r="R876">
        <v>0</v>
      </c>
      <c r="S876">
        <v>1</v>
      </c>
      <c r="T876">
        <v>1</v>
      </c>
      <c r="U876" s="1" t="s">
        <v>1826</v>
      </c>
      <c r="V876" s="1" t="s">
        <v>169</v>
      </c>
      <c r="W876" s="1">
        <f t="shared" si="13"/>
        <v>270.07</v>
      </c>
      <c r="X876" s="1" t="s">
        <v>1213</v>
      </c>
      <c r="Y876">
        <v>1</v>
      </c>
      <c r="Z876">
        <v>1</v>
      </c>
      <c r="AA876">
        <v>66</v>
      </c>
    </row>
    <row r="877" spans="1:27" x14ac:dyDescent="0.3">
      <c r="A877" s="1" t="s">
        <v>3075</v>
      </c>
      <c r="B877">
        <v>876</v>
      </c>
      <c r="C877" s="1" t="s">
        <v>3076</v>
      </c>
      <c r="D877" s="1" t="s">
        <v>1357</v>
      </c>
      <c r="E877" s="1" t="s">
        <v>32</v>
      </c>
      <c r="F877" s="1" t="s">
        <v>620</v>
      </c>
      <c r="G877" s="1" t="s">
        <v>48</v>
      </c>
      <c r="H877" s="1" t="s">
        <v>32</v>
      </c>
      <c r="I877" s="1" t="s">
        <v>32</v>
      </c>
      <c r="J877" s="1" t="s">
        <v>32</v>
      </c>
      <c r="K877" s="1" t="s">
        <v>462</v>
      </c>
      <c r="L877">
        <v>3</v>
      </c>
      <c r="M877">
        <v>2</v>
      </c>
      <c r="N877">
        <v>1</v>
      </c>
      <c r="O877">
        <v>1</v>
      </c>
      <c r="P877">
        <v>6</v>
      </c>
      <c r="Q877">
        <v>0</v>
      </c>
      <c r="R877">
        <v>0</v>
      </c>
      <c r="S877">
        <v>1</v>
      </c>
      <c r="T877">
        <v>1</v>
      </c>
      <c r="U877" s="1" t="s">
        <v>462</v>
      </c>
      <c r="V877" s="1" t="s">
        <v>127</v>
      </c>
      <c r="W877" s="1">
        <f t="shared" si="13"/>
        <v>47.46</v>
      </c>
      <c r="X877" s="1" t="s">
        <v>354</v>
      </c>
      <c r="Y877">
        <v>1</v>
      </c>
      <c r="Z877">
        <v>1</v>
      </c>
      <c r="AA877">
        <v>67</v>
      </c>
    </row>
    <row r="878" spans="1:27" x14ac:dyDescent="0.3">
      <c r="A878" s="1" t="s">
        <v>3077</v>
      </c>
      <c r="B878">
        <v>877</v>
      </c>
      <c r="C878" s="1" t="s">
        <v>3078</v>
      </c>
      <c r="D878" s="1" t="s">
        <v>1360</v>
      </c>
      <c r="E878" s="1" t="s">
        <v>29</v>
      </c>
      <c r="F878" s="1" t="s">
        <v>1444</v>
      </c>
      <c r="G878" s="1" t="s">
        <v>524</v>
      </c>
      <c r="H878" s="1" t="s">
        <v>41</v>
      </c>
      <c r="I878" s="1" t="s">
        <v>32</v>
      </c>
      <c r="J878" s="1" t="s">
        <v>74</v>
      </c>
      <c r="K878" s="1" t="s">
        <v>359</v>
      </c>
      <c r="L878">
        <v>3</v>
      </c>
      <c r="M878">
        <v>0</v>
      </c>
      <c r="N878">
        <v>0</v>
      </c>
      <c r="O878">
        <v>2</v>
      </c>
      <c r="P878">
        <v>3</v>
      </c>
      <c r="Q878">
        <v>0</v>
      </c>
      <c r="R878">
        <v>0</v>
      </c>
      <c r="S878">
        <v>1</v>
      </c>
      <c r="T878">
        <v>1</v>
      </c>
      <c r="U878" s="1" t="s">
        <v>360</v>
      </c>
      <c r="V878" s="1" t="s">
        <v>288</v>
      </c>
      <c r="W878" s="1">
        <f t="shared" si="13"/>
        <v>301.70999999999998</v>
      </c>
      <c r="X878" s="1" t="s">
        <v>361</v>
      </c>
      <c r="Y878">
        <v>1</v>
      </c>
      <c r="Z878">
        <v>1</v>
      </c>
      <c r="AA878">
        <v>68</v>
      </c>
    </row>
    <row r="879" spans="1:27" x14ac:dyDescent="0.3">
      <c r="A879" s="1" t="s">
        <v>3079</v>
      </c>
      <c r="B879">
        <v>878</v>
      </c>
      <c r="C879" s="1" t="s">
        <v>3080</v>
      </c>
      <c r="D879" s="1" t="s">
        <v>1363</v>
      </c>
      <c r="E879" s="1" t="s">
        <v>39</v>
      </c>
      <c r="F879" s="1" t="s">
        <v>63</v>
      </c>
      <c r="G879" s="1" t="s">
        <v>529</v>
      </c>
      <c r="H879" s="1" t="s">
        <v>48</v>
      </c>
      <c r="I879" s="1" t="s">
        <v>32</v>
      </c>
      <c r="J879" s="1" t="s">
        <v>29</v>
      </c>
      <c r="K879" s="1" t="s">
        <v>631</v>
      </c>
      <c r="L879">
        <v>3</v>
      </c>
      <c r="M879">
        <v>0</v>
      </c>
      <c r="N879">
        <v>0</v>
      </c>
      <c r="O879">
        <v>3</v>
      </c>
      <c r="P879">
        <v>3</v>
      </c>
      <c r="Q879">
        <v>0</v>
      </c>
      <c r="R879">
        <v>0</v>
      </c>
      <c r="S879">
        <v>1</v>
      </c>
      <c r="T879">
        <v>1</v>
      </c>
      <c r="U879" s="1" t="s">
        <v>632</v>
      </c>
      <c r="V879" s="1" t="s">
        <v>144</v>
      </c>
      <c r="W879" s="1">
        <f t="shared" si="13"/>
        <v>202.26999999999899</v>
      </c>
      <c r="X879" s="1" t="s">
        <v>510</v>
      </c>
      <c r="Y879">
        <v>1</v>
      </c>
      <c r="Z879">
        <v>1</v>
      </c>
      <c r="AA879">
        <v>69</v>
      </c>
    </row>
    <row r="880" spans="1:27" x14ac:dyDescent="0.3">
      <c r="A880" s="1" t="s">
        <v>3081</v>
      </c>
      <c r="B880">
        <v>879</v>
      </c>
      <c r="C880" s="1" t="s">
        <v>3082</v>
      </c>
      <c r="D880" s="1" t="s">
        <v>1367</v>
      </c>
      <c r="E880" s="1" t="s">
        <v>41</v>
      </c>
      <c r="F880" s="1" t="s">
        <v>1452</v>
      </c>
      <c r="G880" s="1" t="s">
        <v>535</v>
      </c>
      <c r="H880" s="1" t="s">
        <v>55</v>
      </c>
      <c r="I880" s="1" t="s">
        <v>32</v>
      </c>
      <c r="J880" s="1" t="s">
        <v>75</v>
      </c>
      <c r="K880" s="1" t="s">
        <v>370</v>
      </c>
      <c r="L880">
        <v>3</v>
      </c>
      <c r="M880">
        <v>0</v>
      </c>
      <c r="N880">
        <v>0</v>
      </c>
      <c r="O880">
        <v>4</v>
      </c>
      <c r="P880">
        <v>3</v>
      </c>
      <c r="Q880">
        <v>0</v>
      </c>
      <c r="R880">
        <v>0</v>
      </c>
      <c r="S880">
        <v>1</v>
      </c>
      <c r="T880">
        <v>1</v>
      </c>
      <c r="U880" s="1" t="s">
        <v>370</v>
      </c>
      <c r="V880" s="1" t="s">
        <v>152</v>
      </c>
      <c r="W880" s="1">
        <f t="shared" si="13"/>
        <v>63.28</v>
      </c>
      <c r="X880" s="1" t="s">
        <v>371</v>
      </c>
      <c r="Y880">
        <v>1</v>
      </c>
      <c r="Z880">
        <v>1</v>
      </c>
      <c r="AA880">
        <v>70</v>
      </c>
    </row>
    <row r="881" spans="1:27" x14ac:dyDescent="0.3">
      <c r="A881" s="1" t="s">
        <v>3083</v>
      </c>
      <c r="B881">
        <v>880</v>
      </c>
      <c r="C881" s="1" t="s">
        <v>3084</v>
      </c>
      <c r="D881" s="1" t="s">
        <v>1370</v>
      </c>
      <c r="E881" s="1" t="s">
        <v>32</v>
      </c>
      <c r="F881" s="1" t="s">
        <v>1457</v>
      </c>
      <c r="G881" s="1" t="s">
        <v>540</v>
      </c>
      <c r="H881" s="1" t="s">
        <v>63</v>
      </c>
      <c r="I881" s="1" t="s">
        <v>32</v>
      </c>
      <c r="J881" s="1" t="s">
        <v>41</v>
      </c>
      <c r="K881" s="1" t="s">
        <v>3085</v>
      </c>
      <c r="L881">
        <v>1</v>
      </c>
      <c r="M881">
        <v>1</v>
      </c>
      <c r="N881">
        <v>0</v>
      </c>
      <c r="O881">
        <v>5</v>
      </c>
      <c r="P881">
        <v>2</v>
      </c>
      <c r="Q881">
        <v>0</v>
      </c>
      <c r="R881">
        <v>0</v>
      </c>
      <c r="S881">
        <v>1</v>
      </c>
      <c r="T881">
        <v>1</v>
      </c>
      <c r="U881" s="1" t="s">
        <v>3086</v>
      </c>
      <c r="V881" s="1" t="s">
        <v>304</v>
      </c>
      <c r="W881" s="1">
        <f t="shared" si="13"/>
        <v>64.41</v>
      </c>
      <c r="X881" s="1" t="s">
        <v>644</v>
      </c>
      <c r="Y881">
        <v>1</v>
      </c>
      <c r="Z881">
        <v>1</v>
      </c>
      <c r="AA881">
        <v>71</v>
      </c>
    </row>
    <row r="882" spans="1:27" x14ac:dyDescent="0.3">
      <c r="A882" s="1" t="s">
        <v>3087</v>
      </c>
      <c r="B882">
        <v>881</v>
      </c>
      <c r="C882" s="1" t="s">
        <v>3088</v>
      </c>
      <c r="D882" s="1" t="s">
        <v>1374</v>
      </c>
      <c r="E882" s="1" t="s">
        <v>29</v>
      </c>
      <c r="F882" s="1" t="s">
        <v>1463</v>
      </c>
      <c r="G882" s="1" t="s">
        <v>547</v>
      </c>
      <c r="H882" s="1" t="s">
        <v>74</v>
      </c>
      <c r="I882" s="1" t="s">
        <v>33</v>
      </c>
      <c r="J882" s="1" t="s">
        <v>33</v>
      </c>
      <c r="K882" s="1" t="s">
        <v>34</v>
      </c>
      <c r="L882">
        <v>1</v>
      </c>
      <c r="M882">
        <v>0</v>
      </c>
      <c r="N882">
        <v>0</v>
      </c>
      <c r="O882">
        <v>6</v>
      </c>
      <c r="P882">
        <v>1</v>
      </c>
      <c r="Q882">
        <v>1</v>
      </c>
      <c r="R882">
        <v>0</v>
      </c>
      <c r="S882">
        <v>0</v>
      </c>
      <c r="T882">
        <v>0</v>
      </c>
      <c r="U882" s="1" t="s">
        <v>310</v>
      </c>
      <c r="V882" s="1">
        <v>0</v>
      </c>
      <c r="W882" s="1">
        <f t="shared" si="13"/>
        <v>0</v>
      </c>
      <c r="X882" s="1" t="s">
        <v>310</v>
      </c>
      <c r="Y882">
        <v>1</v>
      </c>
      <c r="Z882">
        <v>0</v>
      </c>
      <c r="AA882">
        <v>72</v>
      </c>
    </row>
    <row r="883" spans="1:27" x14ac:dyDescent="0.3">
      <c r="A883" s="1" t="s">
        <v>3089</v>
      </c>
      <c r="B883">
        <v>882</v>
      </c>
      <c r="C883" s="1" t="s">
        <v>3090</v>
      </c>
      <c r="D883" s="1" t="s">
        <v>1378</v>
      </c>
      <c r="E883" s="1" t="s">
        <v>39</v>
      </c>
      <c r="F883" s="1" t="s">
        <v>1378</v>
      </c>
      <c r="G883" s="1" t="s">
        <v>551</v>
      </c>
      <c r="H883" s="1" t="s">
        <v>29</v>
      </c>
      <c r="I883" s="1" t="s">
        <v>33</v>
      </c>
      <c r="J883" s="1" t="s">
        <v>33</v>
      </c>
      <c r="K883" s="1" t="s">
        <v>34</v>
      </c>
      <c r="L883">
        <v>1</v>
      </c>
      <c r="M883">
        <v>2</v>
      </c>
      <c r="N883">
        <v>0</v>
      </c>
      <c r="O883">
        <v>1</v>
      </c>
      <c r="P883">
        <v>3</v>
      </c>
      <c r="Q883">
        <v>1</v>
      </c>
      <c r="R883">
        <v>0</v>
      </c>
      <c r="S883">
        <v>0</v>
      </c>
      <c r="T883">
        <v>0</v>
      </c>
      <c r="U883" s="1" t="s">
        <v>2215</v>
      </c>
      <c r="V883" s="1">
        <v>0</v>
      </c>
      <c r="W883" s="1">
        <f t="shared" si="13"/>
        <v>0</v>
      </c>
      <c r="X883" s="1" t="s">
        <v>2215</v>
      </c>
      <c r="Y883">
        <v>1</v>
      </c>
      <c r="Z883">
        <v>0</v>
      </c>
      <c r="AA883">
        <v>73</v>
      </c>
    </row>
    <row r="884" spans="1:27" x14ac:dyDescent="0.3">
      <c r="A884" s="1" t="s">
        <v>3091</v>
      </c>
      <c r="B884">
        <v>883</v>
      </c>
      <c r="C884" s="1" t="s">
        <v>3092</v>
      </c>
      <c r="D884" s="1" t="s">
        <v>555</v>
      </c>
      <c r="E884" s="1" t="s">
        <v>41</v>
      </c>
      <c r="F884" s="1" t="s">
        <v>555</v>
      </c>
      <c r="G884" s="1" t="s">
        <v>555</v>
      </c>
      <c r="H884" s="1" t="s">
        <v>32</v>
      </c>
      <c r="I884" s="1" t="s">
        <v>33</v>
      </c>
      <c r="J884" s="1" t="s">
        <v>33</v>
      </c>
      <c r="K884" s="1" t="s">
        <v>34</v>
      </c>
      <c r="L884">
        <v>2</v>
      </c>
      <c r="M884">
        <v>0</v>
      </c>
      <c r="N884">
        <v>0</v>
      </c>
      <c r="O884">
        <v>2</v>
      </c>
      <c r="P884">
        <v>2</v>
      </c>
      <c r="Q884">
        <v>1</v>
      </c>
      <c r="R884">
        <v>0</v>
      </c>
      <c r="S884">
        <v>0</v>
      </c>
      <c r="T884">
        <v>0</v>
      </c>
      <c r="U884" s="1" t="s">
        <v>319</v>
      </c>
      <c r="V884" s="1">
        <v>0</v>
      </c>
      <c r="W884" s="1">
        <f t="shared" si="13"/>
        <v>0</v>
      </c>
      <c r="X884" s="1" t="s">
        <v>319</v>
      </c>
      <c r="Y884">
        <v>1</v>
      </c>
      <c r="Z884">
        <v>0</v>
      </c>
      <c r="AA884">
        <v>74</v>
      </c>
    </row>
    <row r="885" spans="1:27" x14ac:dyDescent="0.3">
      <c r="A885" s="1" t="s">
        <v>3093</v>
      </c>
      <c r="B885">
        <v>884</v>
      </c>
      <c r="C885" s="1" t="s">
        <v>3094</v>
      </c>
      <c r="D885" s="1" t="s">
        <v>56</v>
      </c>
      <c r="E885" s="1" t="s">
        <v>32</v>
      </c>
      <c r="F885" s="1" t="s">
        <v>785</v>
      </c>
      <c r="G885" s="1" t="s">
        <v>560</v>
      </c>
      <c r="H885" s="1" t="s">
        <v>41</v>
      </c>
      <c r="I885" s="1" t="s">
        <v>56</v>
      </c>
      <c r="J885" s="1" t="s">
        <v>33</v>
      </c>
      <c r="K885" s="1" t="s">
        <v>34</v>
      </c>
      <c r="L885">
        <v>2</v>
      </c>
      <c r="M885">
        <v>1</v>
      </c>
      <c r="N885">
        <v>0</v>
      </c>
      <c r="O885">
        <v>3</v>
      </c>
      <c r="P885">
        <v>3</v>
      </c>
      <c r="Q885">
        <v>0</v>
      </c>
      <c r="R885">
        <v>1</v>
      </c>
      <c r="S885">
        <v>0</v>
      </c>
      <c r="T885">
        <v>0</v>
      </c>
      <c r="U885" s="1" t="s">
        <v>323</v>
      </c>
      <c r="V885" s="1">
        <v>0</v>
      </c>
      <c r="W885" s="1">
        <f t="shared" si="13"/>
        <v>0</v>
      </c>
      <c r="X885" s="1" t="s">
        <v>323</v>
      </c>
      <c r="Y885">
        <v>1</v>
      </c>
      <c r="Z885">
        <v>0</v>
      </c>
      <c r="AA885">
        <v>75</v>
      </c>
    </row>
    <row r="886" spans="1:27" x14ac:dyDescent="0.3">
      <c r="A886" s="1" t="s">
        <v>3095</v>
      </c>
      <c r="B886">
        <v>885</v>
      </c>
      <c r="C886" s="1" t="s">
        <v>3096</v>
      </c>
      <c r="D886" s="1" t="s">
        <v>1388</v>
      </c>
      <c r="E886" s="1" t="s">
        <v>29</v>
      </c>
      <c r="F886" s="1" t="s">
        <v>789</v>
      </c>
      <c r="G886" s="1" t="s">
        <v>566</v>
      </c>
      <c r="H886" s="1" t="s">
        <v>48</v>
      </c>
      <c r="I886" s="1" t="s">
        <v>64</v>
      </c>
      <c r="J886" s="1" t="s">
        <v>74</v>
      </c>
      <c r="K886" s="1" t="s">
        <v>328</v>
      </c>
      <c r="L886">
        <v>2</v>
      </c>
      <c r="M886">
        <v>0</v>
      </c>
      <c r="N886">
        <v>0</v>
      </c>
      <c r="O886">
        <v>4</v>
      </c>
      <c r="P886">
        <v>2</v>
      </c>
      <c r="Q886">
        <v>0</v>
      </c>
      <c r="R886">
        <v>0</v>
      </c>
      <c r="S886">
        <v>0</v>
      </c>
      <c r="T886">
        <v>0</v>
      </c>
      <c r="U886" s="1" t="s">
        <v>329</v>
      </c>
      <c r="V886" s="1" t="s">
        <v>104</v>
      </c>
      <c r="W886" s="1">
        <f t="shared" si="13"/>
        <v>76.84</v>
      </c>
      <c r="X886" s="1" t="s">
        <v>330</v>
      </c>
      <c r="Y886">
        <v>1</v>
      </c>
      <c r="Z886">
        <v>0</v>
      </c>
      <c r="AA886">
        <v>76</v>
      </c>
    </row>
    <row r="887" spans="1:27" x14ac:dyDescent="0.3">
      <c r="A887" s="1" t="s">
        <v>3097</v>
      </c>
      <c r="B887">
        <v>886</v>
      </c>
      <c r="C887" s="1" t="s">
        <v>3098</v>
      </c>
      <c r="D887" s="1" t="s">
        <v>64</v>
      </c>
      <c r="E887" s="1" t="s">
        <v>39</v>
      </c>
      <c r="F887" s="1" t="s">
        <v>1476</v>
      </c>
      <c r="G887" s="1" t="s">
        <v>573</v>
      </c>
      <c r="H887" s="1" t="s">
        <v>55</v>
      </c>
      <c r="I887" s="1" t="s">
        <v>64</v>
      </c>
      <c r="J887" s="1" t="s">
        <v>29</v>
      </c>
      <c r="K887" s="1" t="s">
        <v>335</v>
      </c>
      <c r="L887">
        <v>3</v>
      </c>
      <c r="M887">
        <v>0</v>
      </c>
      <c r="N887">
        <v>0</v>
      </c>
      <c r="O887">
        <v>5</v>
      </c>
      <c r="P887">
        <v>3</v>
      </c>
      <c r="Q887">
        <v>0</v>
      </c>
      <c r="R887">
        <v>0</v>
      </c>
      <c r="S887">
        <v>0</v>
      </c>
      <c r="T887">
        <v>0</v>
      </c>
      <c r="U887" s="1" t="s">
        <v>336</v>
      </c>
      <c r="V887" s="1" t="s">
        <v>304</v>
      </c>
      <c r="W887" s="1">
        <f t="shared" si="13"/>
        <v>64.41</v>
      </c>
      <c r="X887" s="1" t="s">
        <v>337</v>
      </c>
      <c r="Y887">
        <v>1</v>
      </c>
      <c r="Z887">
        <v>0</v>
      </c>
      <c r="AA887">
        <v>77</v>
      </c>
    </row>
    <row r="888" spans="1:27" x14ac:dyDescent="0.3">
      <c r="A888" s="1" t="s">
        <v>3099</v>
      </c>
      <c r="B888">
        <v>887</v>
      </c>
      <c r="C888" s="1" t="s">
        <v>3100</v>
      </c>
      <c r="D888" s="1" t="s">
        <v>1400</v>
      </c>
      <c r="E888" s="1" t="s">
        <v>41</v>
      </c>
      <c r="F888" s="1" t="s">
        <v>1483</v>
      </c>
      <c r="G888" s="1" t="s">
        <v>578</v>
      </c>
      <c r="H888" s="1" t="s">
        <v>63</v>
      </c>
      <c r="I888" s="1" t="s">
        <v>32</v>
      </c>
      <c r="J888" s="1" t="s">
        <v>29</v>
      </c>
      <c r="K888" s="1" t="s">
        <v>343</v>
      </c>
      <c r="L888">
        <v>3</v>
      </c>
      <c r="M888">
        <v>0</v>
      </c>
      <c r="N888">
        <v>0</v>
      </c>
      <c r="O888">
        <v>6</v>
      </c>
      <c r="P888">
        <v>3</v>
      </c>
      <c r="Q888">
        <v>0</v>
      </c>
      <c r="R888">
        <v>0</v>
      </c>
      <c r="S888">
        <v>1</v>
      </c>
      <c r="T888">
        <v>1</v>
      </c>
      <c r="U888" s="1" t="s">
        <v>344</v>
      </c>
      <c r="V888" s="1" t="s">
        <v>345</v>
      </c>
      <c r="W888" s="1">
        <f t="shared" si="13"/>
        <v>265.32</v>
      </c>
      <c r="X888" s="1" t="s">
        <v>346</v>
      </c>
      <c r="Y888">
        <v>1</v>
      </c>
      <c r="Z888">
        <v>1</v>
      </c>
      <c r="AA888">
        <v>78</v>
      </c>
    </row>
    <row r="889" spans="1:27" x14ac:dyDescent="0.3">
      <c r="A889" s="1" t="s">
        <v>3101</v>
      </c>
      <c r="B889">
        <v>888</v>
      </c>
      <c r="C889" s="1" t="s">
        <v>3102</v>
      </c>
      <c r="D889" s="1" t="s">
        <v>1404</v>
      </c>
      <c r="E889" s="1" t="s">
        <v>32</v>
      </c>
      <c r="F889" s="1" t="s">
        <v>1404</v>
      </c>
      <c r="G889" s="1" t="s">
        <v>581</v>
      </c>
      <c r="H889" s="1" t="s">
        <v>74</v>
      </c>
      <c r="I889" s="1" t="s">
        <v>32</v>
      </c>
      <c r="J889" s="1" t="s">
        <v>75</v>
      </c>
      <c r="K889" s="1" t="s">
        <v>352</v>
      </c>
      <c r="L889">
        <v>3</v>
      </c>
      <c r="M889">
        <v>2</v>
      </c>
      <c r="N889">
        <v>1</v>
      </c>
      <c r="O889">
        <v>1</v>
      </c>
      <c r="P889">
        <v>6</v>
      </c>
      <c r="Q889">
        <v>0</v>
      </c>
      <c r="R889">
        <v>0</v>
      </c>
      <c r="S889">
        <v>1</v>
      </c>
      <c r="T889">
        <v>1</v>
      </c>
      <c r="U889" s="1" t="s">
        <v>352</v>
      </c>
      <c r="V889" s="1" t="s">
        <v>353</v>
      </c>
      <c r="W889" s="1">
        <f t="shared" si="13"/>
        <v>42.71</v>
      </c>
      <c r="X889" s="1" t="s">
        <v>354</v>
      </c>
      <c r="Y889">
        <v>1</v>
      </c>
      <c r="Z889">
        <v>1</v>
      </c>
      <c r="AA889">
        <v>79</v>
      </c>
    </row>
    <row r="890" spans="1:27" x14ac:dyDescent="0.3">
      <c r="A890" s="1" t="s">
        <v>3103</v>
      </c>
      <c r="B890">
        <v>889</v>
      </c>
      <c r="C890" s="1" t="s">
        <v>3104</v>
      </c>
      <c r="D890" s="1" t="s">
        <v>1407</v>
      </c>
      <c r="E890" s="1" t="s">
        <v>29</v>
      </c>
      <c r="F890" s="1" t="s">
        <v>695</v>
      </c>
      <c r="G890" s="1" t="s">
        <v>585</v>
      </c>
      <c r="H890" s="1" t="s">
        <v>29</v>
      </c>
      <c r="I890" s="1" t="s">
        <v>32</v>
      </c>
      <c r="J890" s="1" t="s">
        <v>41</v>
      </c>
      <c r="K890" s="1" t="s">
        <v>359</v>
      </c>
      <c r="L890">
        <v>3</v>
      </c>
      <c r="M890">
        <v>0</v>
      </c>
      <c r="N890">
        <v>0</v>
      </c>
      <c r="O890">
        <v>2</v>
      </c>
      <c r="P890">
        <v>3</v>
      </c>
      <c r="Q890">
        <v>0</v>
      </c>
      <c r="R890">
        <v>0</v>
      </c>
      <c r="S890">
        <v>1</v>
      </c>
      <c r="T890">
        <v>1</v>
      </c>
      <c r="U890" s="1" t="s">
        <v>360</v>
      </c>
      <c r="V890" s="1" t="s">
        <v>288</v>
      </c>
      <c r="W890" s="1">
        <f t="shared" si="13"/>
        <v>301.70999999999998</v>
      </c>
      <c r="X890" s="1" t="s">
        <v>361</v>
      </c>
      <c r="Y890">
        <v>1</v>
      </c>
      <c r="Z890">
        <v>1</v>
      </c>
      <c r="AA890">
        <v>80</v>
      </c>
    </row>
    <row r="891" spans="1:27" x14ac:dyDescent="0.3">
      <c r="A891" s="1" t="s">
        <v>3105</v>
      </c>
      <c r="B891">
        <v>890</v>
      </c>
      <c r="C891" s="1" t="s">
        <v>3106</v>
      </c>
      <c r="D891" s="1" t="s">
        <v>1410</v>
      </c>
      <c r="E891" s="1" t="s">
        <v>39</v>
      </c>
      <c r="F891" s="1" t="s">
        <v>1492</v>
      </c>
      <c r="G891" s="1" t="s">
        <v>591</v>
      </c>
      <c r="H891" s="1" t="s">
        <v>32</v>
      </c>
      <c r="I891" s="1" t="s">
        <v>32</v>
      </c>
      <c r="J891" s="1" t="s">
        <v>32</v>
      </c>
      <c r="K891" s="1" t="s">
        <v>365</v>
      </c>
      <c r="L891">
        <v>1</v>
      </c>
      <c r="M891">
        <v>0</v>
      </c>
      <c r="N891">
        <v>0</v>
      </c>
      <c r="O891">
        <v>3</v>
      </c>
      <c r="P891">
        <v>1</v>
      </c>
      <c r="Q891">
        <v>0</v>
      </c>
      <c r="R891">
        <v>0</v>
      </c>
      <c r="S891">
        <v>1</v>
      </c>
      <c r="T891">
        <v>1</v>
      </c>
      <c r="U891" s="1" t="s">
        <v>366</v>
      </c>
      <c r="V891" s="1" t="s">
        <v>144</v>
      </c>
      <c r="W891" s="1">
        <f t="shared" si="13"/>
        <v>202.26999999999899</v>
      </c>
      <c r="X891" s="1" t="s">
        <v>367</v>
      </c>
      <c r="Y891">
        <v>1</v>
      </c>
      <c r="Z891">
        <v>1</v>
      </c>
      <c r="AA891">
        <v>81</v>
      </c>
    </row>
    <row r="892" spans="1:27" x14ac:dyDescent="0.3">
      <c r="A892" s="1" t="s">
        <v>3107</v>
      </c>
      <c r="B892">
        <v>891</v>
      </c>
      <c r="C892" s="1" t="s">
        <v>3108</v>
      </c>
      <c r="D892" s="1" t="s">
        <v>712</v>
      </c>
      <c r="E892" s="1" t="s">
        <v>41</v>
      </c>
      <c r="F892" s="1" t="s">
        <v>1498</v>
      </c>
      <c r="G892" s="1" t="s">
        <v>597</v>
      </c>
      <c r="H892" s="1" t="s">
        <v>41</v>
      </c>
      <c r="I892" s="1" t="s">
        <v>32</v>
      </c>
      <c r="J892" s="1" t="s">
        <v>74</v>
      </c>
      <c r="K892" s="1" t="s">
        <v>637</v>
      </c>
      <c r="L892">
        <v>1</v>
      </c>
      <c r="M892">
        <v>0</v>
      </c>
      <c r="N892">
        <v>0</v>
      </c>
      <c r="O892">
        <v>4</v>
      </c>
      <c r="P892">
        <v>1</v>
      </c>
      <c r="Q892">
        <v>0</v>
      </c>
      <c r="R892">
        <v>0</v>
      </c>
      <c r="S892">
        <v>1</v>
      </c>
      <c r="T892">
        <v>1</v>
      </c>
      <c r="U892" s="1" t="s">
        <v>637</v>
      </c>
      <c r="V892" s="1" t="s">
        <v>152</v>
      </c>
      <c r="W892" s="1">
        <f t="shared" si="13"/>
        <v>63.28</v>
      </c>
      <c r="X892" s="1">
        <v>419</v>
      </c>
      <c r="Y892">
        <v>1</v>
      </c>
      <c r="Z892">
        <v>1</v>
      </c>
      <c r="AA892">
        <v>82</v>
      </c>
    </row>
    <row r="893" spans="1:27" x14ac:dyDescent="0.3">
      <c r="A893" s="1" t="s">
        <v>3109</v>
      </c>
      <c r="B893">
        <v>892</v>
      </c>
      <c r="C893" s="1" t="s">
        <v>3110</v>
      </c>
      <c r="D893" s="1" t="s">
        <v>1420</v>
      </c>
      <c r="E893" s="1" t="s">
        <v>32</v>
      </c>
      <c r="F893" s="1" t="s">
        <v>833</v>
      </c>
      <c r="G893" s="1" t="s">
        <v>602</v>
      </c>
      <c r="H893" s="1" t="s">
        <v>48</v>
      </c>
      <c r="I893" s="1" t="s">
        <v>32</v>
      </c>
      <c r="J893" s="1" t="s">
        <v>29</v>
      </c>
      <c r="K893" s="1" t="s">
        <v>376</v>
      </c>
      <c r="L893">
        <v>1</v>
      </c>
      <c r="M893">
        <v>1</v>
      </c>
      <c r="N893">
        <v>0</v>
      </c>
      <c r="O893">
        <v>5</v>
      </c>
      <c r="P893">
        <v>2</v>
      </c>
      <c r="Q893">
        <v>0</v>
      </c>
      <c r="R893">
        <v>0</v>
      </c>
      <c r="S893">
        <v>1</v>
      </c>
      <c r="T893">
        <v>1</v>
      </c>
      <c r="U893" s="1" t="s">
        <v>377</v>
      </c>
      <c r="V893" s="1" t="s">
        <v>161</v>
      </c>
      <c r="W893" s="1">
        <f t="shared" si="13"/>
        <v>66.67</v>
      </c>
      <c r="X893" s="1" t="s">
        <v>378</v>
      </c>
      <c r="Y893">
        <v>1</v>
      </c>
      <c r="Z893">
        <v>1</v>
      </c>
      <c r="AA893">
        <v>83</v>
      </c>
    </row>
    <row r="894" spans="1:27" x14ac:dyDescent="0.3">
      <c r="A894" s="1" t="s">
        <v>3111</v>
      </c>
      <c r="B894">
        <v>893</v>
      </c>
      <c r="C894" s="1" t="s">
        <v>3112</v>
      </c>
      <c r="D894" s="1" t="s">
        <v>29</v>
      </c>
      <c r="E894" s="1" t="s">
        <v>29</v>
      </c>
      <c r="F894" s="1" t="s">
        <v>1506</v>
      </c>
      <c r="G894" s="1" t="s">
        <v>605</v>
      </c>
      <c r="H894" s="1" t="s">
        <v>55</v>
      </c>
      <c r="I894" s="1" t="s">
        <v>32</v>
      </c>
      <c r="J894" s="1" t="s">
        <v>75</v>
      </c>
      <c r="K894" s="1" t="s">
        <v>383</v>
      </c>
      <c r="L894">
        <v>2</v>
      </c>
      <c r="M894">
        <v>0</v>
      </c>
      <c r="N894">
        <v>0</v>
      </c>
      <c r="O894">
        <v>6</v>
      </c>
      <c r="P894">
        <v>2</v>
      </c>
      <c r="Q894">
        <v>0</v>
      </c>
      <c r="R894">
        <v>0</v>
      </c>
      <c r="S894">
        <v>1</v>
      </c>
      <c r="T894">
        <v>1</v>
      </c>
      <c r="U894" s="1" t="s">
        <v>384</v>
      </c>
      <c r="V894" s="1" t="s">
        <v>385</v>
      </c>
      <c r="W894" s="1">
        <f t="shared" si="13"/>
        <v>251.43</v>
      </c>
      <c r="X894" s="1" t="s">
        <v>310</v>
      </c>
      <c r="Y894">
        <v>1</v>
      </c>
      <c r="Z894">
        <v>1</v>
      </c>
      <c r="AA894">
        <v>84</v>
      </c>
    </row>
    <row r="895" spans="1:27" x14ac:dyDescent="0.3">
      <c r="A895" s="1" t="s">
        <v>3113</v>
      </c>
      <c r="B895">
        <v>894</v>
      </c>
      <c r="C895" s="1" t="s">
        <v>3114</v>
      </c>
      <c r="D895" s="1" t="s">
        <v>1427</v>
      </c>
      <c r="E895" s="1" t="s">
        <v>39</v>
      </c>
      <c r="F895" s="1" t="s">
        <v>844</v>
      </c>
      <c r="G895" s="1" t="s">
        <v>610</v>
      </c>
      <c r="H895" s="1" t="s">
        <v>63</v>
      </c>
      <c r="I895" s="1" t="s">
        <v>32</v>
      </c>
      <c r="J895" s="1" t="s">
        <v>41</v>
      </c>
      <c r="K895" s="1" t="s">
        <v>462</v>
      </c>
      <c r="L895">
        <v>2</v>
      </c>
      <c r="M895">
        <v>2</v>
      </c>
      <c r="N895">
        <v>0</v>
      </c>
      <c r="O895">
        <v>1</v>
      </c>
      <c r="P895">
        <v>4</v>
      </c>
      <c r="Q895">
        <v>0</v>
      </c>
      <c r="R895">
        <v>0</v>
      </c>
      <c r="S895">
        <v>1</v>
      </c>
      <c r="T895">
        <v>1</v>
      </c>
      <c r="U895" s="1" t="s">
        <v>462</v>
      </c>
      <c r="V895" s="1" t="s">
        <v>177</v>
      </c>
      <c r="W895" s="1">
        <f t="shared" si="13"/>
        <v>61.02</v>
      </c>
      <c r="X895" s="1" t="s">
        <v>463</v>
      </c>
      <c r="Y895">
        <v>1</v>
      </c>
      <c r="Z895">
        <v>1</v>
      </c>
      <c r="AA895">
        <v>85</v>
      </c>
    </row>
    <row r="896" spans="1:27" x14ac:dyDescent="0.3">
      <c r="A896" s="1" t="s">
        <v>3115</v>
      </c>
      <c r="B896">
        <v>895</v>
      </c>
      <c r="C896" s="1" t="s">
        <v>3116</v>
      </c>
      <c r="D896" s="1" t="s">
        <v>1432</v>
      </c>
      <c r="E896" s="1" t="s">
        <v>41</v>
      </c>
      <c r="F896" s="1" t="s">
        <v>1514</v>
      </c>
      <c r="G896" s="1" t="s">
        <v>613</v>
      </c>
      <c r="H896" s="1" t="s">
        <v>74</v>
      </c>
      <c r="I896" s="1" t="s">
        <v>32</v>
      </c>
      <c r="J896" s="1" t="s">
        <v>32</v>
      </c>
      <c r="K896" s="1" t="s">
        <v>396</v>
      </c>
      <c r="L896">
        <v>2</v>
      </c>
      <c r="M896">
        <v>0</v>
      </c>
      <c r="N896">
        <v>0</v>
      </c>
      <c r="O896">
        <v>2</v>
      </c>
      <c r="P896">
        <v>2</v>
      </c>
      <c r="Q896">
        <v>0</v>
      </c>
      <c r="R896">
        <v>0</v>
      </c>
      <c r="S896">
        <v>1</v>
      </c>
      <c r="T896">
        <v>1</v>
      </c>
      <c r="U896" s="1" t="s">
        <v>397</v>
      </c>
      <c r="V896" s="1" t="s">
        <v>398</v>
      </c>
      <c r="W896" s="1">
        <f t="shared" si="13"/>
        <v>255.95</v>
      </c>
      <c r="X896" s="1" t="s">
        <v>399</v>
      </c>
      <c r="Y896">
        <v>1</v>
      </c>
      <c r="Z896">
        <v>1</v>
      </c>
      <c r="AA896">
        <v>86</v>
      </c>
    </row>
    <row r="897" spans="1:27" x14ac:dyDescent="0.3">
      <c r="A897" s="1" t="s">
        <v>3117</v>
      </c>
      <c r="B897">
        <v>896</v>
      </c>
      <c r="C897" s="1" t="s">
        <v>3118</v>
      </c>
      <c r="D897" s="1" t="s">
        <v>1439</v>
      </c>
      <c r="E897" s="1" t="s">
        <v>32</v>
      </c>
      <c r="F897" s="1" t="s">
        <v>742</v>
      </c>
      <c r="G897" s="1" t="s">
        <v>620</v>
      </c>
      <c r="H897" s="1" t="s">
        <v>29</v>
      </c>
      <c r="I897" s="1" t="s">
        <v>32</v>
      </c>
      <c r="J897" s="1" t="s">
        <v>74</v>
      </c>
      <c r="K897" s="1" t="s">
        <v>404</v>
      </c>
      <c r="L897">
        <v>3</v>
      </c>
      <c r="M897">
        <v>1</v>
      </c>
      <c r="N897">
        <v>0</v>
      </c>
      <c r="O897">
        <v>3</v>
      </c>
      <c r="P897">
        <v>4</v>
      </c>
      <c r="Q897">
        <v>0</v>
      </c>
      <c r="R897">
        <v>0</v>
      </c>
      <c r="S897">
        <v>1</v>
      </c>
      <c r="T897">
        <v>1</v>
      </c>
      <c r="U897" s="1" t="s">
        <v>405</v>
      </c>
      <c r="V897" s="1" t="s">
        <v>96</v>
      </c>
      <c r="W897" s="1">
        <f t="shared" si="13"/>
        <v>229.39</v>
      </c>
      <c r="X897" s="1" t="s">
        <v>323</v>
      </c>
      <c r="Y897">
        <v>1</v>
      </c>
      <c r="Z897">
        <v>1</v>
      </c>
      <c r="AA897">
        <v>87</v>
      </c>
    </row>
    <row r="898" spans="1:27" x14ac:dyDescent="0.3">
      <c r="A898" s="1" t="s">
        <v>3119</v>
      </c>
      <c r="B898">
        <v>897</v>
      </c>
      <c r="C898" s="1" t="s">
        <v>3120</v>
      </c>
      <c r="D898" s="1" t="s">
        <v>1443</v>
      </c>
      <c r="E898" s="1" t="s">
        <v>29</v>
      </c>
      <c r="F898" s="1" t="s">
        <v>1519</v>
      </c>
      <c r="G898" s="1" t="s">
        <v>55</v>
      </c>
      <c r="H898" s="1" t="s">
        <v>32</v>
      </c>
      <c r="I898" s="1" t="s">
        <v>32</v>
      </c>
      <c r="J898" s="1" t="s">
        <v>29</v>
      </c>
      <c r="K898" s="1" t="s">
        <v>409</v>
      </c>
      <c r="L898">
        <v>3</v>
      </c>
      <c r="M898">
        <v>0</v>
      </c>
      <c r="N898">
        <v>0</v>
      </c>
      <c r="O898">
        <v>4</v>
      </c>
      <c r="P898">
        <v>3</v>
      </c>
      <c r="Q898">
        <v>0</v>
      </c>
      <c r="R898">
        <v>0</v>
      </c>
      <c r="S898">
        <v>1</v>
      </c>
      <c r="T898">
        <v>1</v>
      </c>
      <c r="U898" s="1" t="s">
        <v>409</v>
      </c>
      <c r="V898" s="1" t="s">
        <v>104</v>
      </c>
      <c r="W898" s="1">
        <f t="shared" ref="W898:W961" si="14">VALUE(SUBSTITUTE(TRIM(V898),".", ","))</f>
        <v>76.84</v>
      </c>
      <c r="X898" s="1" t="s">
        <v>410</v>
      </c>
      <c r="Y898">
        <v>1</v>
      </c>
      <c r="Z898">
        <v>1</v>
      </c>
      <c r="AA898">
        <v>88</v>
      </c>
    </row>
    <row r="899" spans="1:27" x14ac:dyDescent="0.3">
      <c r="A899" s="1" t="s">
        <v>3121</v>
      </c>
      <c r="B899">
        <v>898</v>
      </c>
      <c r="C899" s="1" t="s">
        <v>3122</v>
      </c>
      <c r="D899" s="1" t="s">
        <v>63</v>
      </c>
      <c r="E899" s="1" t="s">
        <v>39</v>
      </c>
      <c r="F899" s="1" t="s">
        <v>1523</v>
      </c>
      <c r="G899" s="1" t="s">
        <v>630</v>
      </c>
      <c r="H899" s="1" t="s">
        <v>41</v>
      </c>
      <c r="I899" s="1" t="s">
        <v>32</v>
      </c>
      <c r="J899" s="1" t="s">
        <v>75</v>
      </c>
      <c r="K899" s="1" t="s">
        <v>414</v>
      </c>
      <c r="L899">
        <v>3</v>
      </c>
      <c r="M899">
        <v>0</v>
      </c>
      <c r="N899">
        <v>0</v>
      </c>
      <c r="O899">
        <v>5</v>
      </c>
      <c r="P899">
        <v>3</v>
      </c>
      <c r="Q899">
        <v>0</v>
      </c>
      <c r="R899">
        <v>0</v>
      </c>
      <c r="S899">
        <v>1</v>
      </c>
      <c r="T899">
        <v>1</v>
      </c>
      <c r="U899" s="1" t="s">
        <v>415</v>
      </c>
      <c r="V899" s="1" t="s">
        <v>111</v>
      </c>
      <c r="W899" s="1">
        <f t="shared" si="14"/>
        <v>80.229999999999905</v>
      </c>
      <c r="X899" s="1" t="s">
        <v>416</v>
      </c>
      <c r="Y899">
        <v>1</v>
      </c>
      <c r="Z899">
        <v>1</v>
      </c>
      <c r="AA899">
        <v>89</v>
      </c>
    </row>
    <row r="900" spans="1:27" x14ac:dyDescent="0.3">
      <c r="A900" s="1" t="s">
        <v>3123</v>
      </c>
      <c r="B900">
        <v>899</v>
      </c>
      <c r="C900" s="1" t="s">
        <v>3124</v>
      </c>
      <c r="D900" s="1" t="s">
        <v>1451</v>
      </c>
      <c r="E900" s="1" t="s">
        <v>41</v>
      </c>
      <c r="F900" s="1" t="s">
        <v>1451</v>
      </c>
      <c r="G900" s="1" t="s">
        <v>636</v>
      </c>
      <c r="H900" s="1" t="s">
        <v>48</v>
      </c>
      <c r="I900" s="1" t="s">
        <v>32</v>
      </c>
      <c r="J900" s="1" t="s">
        <v>41</v>
      </c>
      <c r="K900" s="1" t="s">
        <v>421</v>
      </c>
      <c r="L900">
        <v>3</v>
      </c>
      <c r="M900">
        <v>0</v>
      </c>
      <c r="N900">
        <v>0</v>
      </c>
      <c r="O900">
        <v>6</v>
      </c>
      <c r="P900">
        <v>3</v>
      </c>
      <c r="Q900">
        <v>0</v>
      </c>
      <c r="R900">
        <v>0</v>
      </c>
      <c r="S900">
        <v>1</v>
      </c>
      <c r="T900">
        <v>1</v>
      </c>
      <c r="U900" s="1" t="s">
        <v>422</v>
      </c>
      <c r="V900" s="1" t="s">
        <v>169</v>
      </c>
      <c r="W900" s="1">
        <f t="shared" si="14"/>
        <v>270.07</v>
      </c>
      <c r="X900" s="1" t="s">
        <v>346</v>
      </c>
      <c r="Y900">
        <v>1</v>
      </c>
      <c r="Z900">
        <v>1</v>
      </c>
      <c r="AA900">
        <v>90</v>
      </c>
    </row>
    <row r="901" spans="1:27" x14ac:dyDescent="0.3">
      <c r="A901" s="1" t="s">
        <v>3125</v>
      </c>
      <c r="B901">
        <v>900</v>
      </c>
      <c r="C901" s="1" t="s">
        <v>3126</v>
      </c>
      <c r="D901" s="1" t="s">
        <v>1457</v>
      </c>
      <c r="E901" s="1" t="s">
        <v>32</v>
      </c>
      <c r="F901" s="1" t="s">
        <v>1530</v>
      </c>
      <c r="G901" s="1" t="s">
        <v>641</v>
      </c>
      <c r="H901" s="1" t="s">
        <v>55</v>
      </c>
      <c r="I901" s="1" t="s">
        <v>32</v>
      </c>
      <c r="J901" s="1" t="s">
        <v>32</v>
      </c>
      <c r="K901" s="1" t="s">
        <v>428</v>
      </c>
      <c r="L901">
        <v>1</v>
      </c>
      <c r="M901">
        <v>2</v>
      </c>
      <c r="N901">
        <v>1</v>
      </c>
      <c r="O901">
        <v>1</v>
      </c>
      <c r="P901">
        <v>4</v>
      </c>
      <c r="Q901">
        <v>0</v>
      </c>
      <c r="R901">
        <v>0</v>
      </c>
      <c r="S901">
        <v>1</v>
      </c>
      <c r="T901">
        <v>1</v>
      </c>
      <c r="U901" s="1" t="s">
        <v>428</v>
      </c>
      <c r="V901" s="1" t="s">
        <v>127</v>
      </c>
      <c r="W901" s="1">
        <f t="shared" si="14"/>
        <v>47.46</v>
      </c>
      <c r="X901" s="1" t="s">
        <v>429</v>
      </c>
      <c r="Y901">
        <v>1</v>
      </c>
      <c r="Z901">
        <v>1</v>
      </c>
      <c r="AA90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59C04-CA6E-4DD1-AA6C-16C7FFC58AD7}">
  <dimension ref="A3:I140"/>
  <sheetViews>
    <sheetView tabSelected="1" topLeftCell="A79" workbookViewId="0">
      <selection activeCell="D86" sqref="D86"/>
    </sheetView>
  </sheetViews>
  <sheetFormatPr baseColWidth="10" defaultRowHeight="14.4" x14ac:dyDescent="0.3"/>
  <cols>
    <col min="1" max="1" width="11.5546875" bestFit="1" customWidth="1"/>
    <col min="2" max="2" width="32.33203125" bestFit="1" customWidth="1"/>
    <col min="3" max="3" width="18.33203125" bestFit="1" customWidth="1"/>
    <col min="4" max="5" width="15.6640625" bestFit="1" customWidth="1"/>
  </cols>
  <sheetData>
    <row r="3" spans="1:2" x14ac:dyDescent="0.3">
      <c r="A3" s="2" t="s">
        <v>3132</v>
      </c>
      <c r="B3" t="s">
        <v>3129</v>
      </c>
    </row>
    <row r="4" spans="1:2" x14ac:dyDescent="0.3">
      <c r="A4" s="3" t="s">
        <v>29</v>
      </c>
      <c r="B4" s="1">
        <v>1888</v>
      </c>
    </row>
    <row r="5" spans="1:2" x14ac:dyDescent="0.3">
      <c r="A5" s="3" t="s">
        <v>48</v>
      </c>
      <c r="B5" s="1">
        <v>1243</v>
      </c>
    </row>
    <row r="6" spans="1:2" x14ac:dyDescent="0.3">
      <c r="A6" s="3" t="s">
        <v>74</v>
      </c>
      <c r="B6" s="1">
        <v>1130</v>
      </c>
    </row>
    <row r="7" spans="1:2" x14ac:dyDescent="0.3">
      <c r="A7" s="3" t="s">
        <v>41</v>
      </c>
      <c r="B7" s="1">
        <v>1130</v>
      </c>
    </row>
    <row r="8" spans="1:2" x14ac:dyDescent="0.3">
      <c r="A8" s="3" t="s">
        <v>63</v>
      </c>
      <c r="B8" s="1">
        <v>1097</v>
      </c>
    </row>
    <row r="9" spans="1:2" x14ac:dyDescent="0.3">
      <c r="A9" s="3" t="s">
        <v>32</v>
      </c>
      <c r="B9" s="1">
        <v>678</v>
      </c>
    </row>
    <row r="10" spans="1:2" x14ac:dyDescent="0.3">
      <c r="A10" s="3" t="s">
        <v>55</v>
      </c>
      <c r="B10" s="1">
        <v>0</v>
      </c>
    </row>
    <row r="11" spans="1:2" x14ac:dyDescent="0.3">
      <c r="A11" s="3" t="s">
        <v>3128</v>
      </c>
      <c r="B11" s="1">
        <v>7166</v>
      </c>
    </row>
    <row r="21" spans="1:2" x14ac:dyDescent="0.3">
      <c r="A21" s="2" t="s">
        <v>3144</v>
      </c>
      <c r="B21" t="s">
        <v>3129</v>
      </c>
    </row>
    <row r="22" spans="1:2" x14ac:dyDescent="0.3">
      <c r="A22" s="3" t="s">
        <v>39</v>
      </c>
      <c r="B22" s="1">
        <v>3842</v>
      </c>
    </row>
    <row r="23" spans="1:2" x14ac:dyDescent="0.3">
      <c r="A23" s="3" t="s">
        <v>32</v>
      </c>
      <c r="B23" s="1">
        <v>2486</v>
      </c>
    </row>
    <row r="24" spans="1:2" x14ac:dyDescent="0.3">
      <c r="A24" s="3" t="s">
        <v>41</v>
      </c>
      <c r="B24" s="1">
        <v>838</v>
      </c>
    </row>
    <row r="25" spans="1:2" x14ac:dyDescent="0.3">
      <c r="A25" s="3" t="s">
        <v>29</v>
      </c>
      <c r="B25" s="1">
        <v>0</v>
      </c>
    </row>
    <row r="26" spans="1:2" x14ac:dyDescent="0.3">
      <c r="A26" s="3" t="s">
        <v>3128</v>
      </c>
      <c r="B26" s="1">
        <v>7166</v>
      </c>
    </row>
    <row r="37" spans="1:9" x14ac:dyDescent="0.3">
      <c r="A37" s="2" t="s">
        <v>3132</v>
      </c>
      <c r="B37" t="s">
        <v>3130</v>
      </c>
      <c r="C37" t="s">
        <v>3131</v>
      </c>
      <c r="D37" s="4" t="s">
        <v>3133</v>
      </c>
      <c r="F37" s="12" t="s">
        <v>3132</v>
      </c>
      <c r="G37" s="12" t="s">
        <v>3130</v>
      </c>
      <c r="H37" s="12" t="s">
        <v>3131</v>
      </c>
      <c r="I37" s="14" t="s">
        <v>3133</v>
      </c>
    </row>
    <row r="38" spans="1:9" x14ac:dyDescent="0.3">
      <c r="A38" s="3" t="s">
        <v>32</v>
      </c>
      <c r="B38" s="1">
        <v>21</v>
      </c>
      <c r="C38" s="1">
        <v>129</v>
      </c>
      <c r="D38" s="5">
        <f>B38/C38</f>
        <v>0.16279069767441862</v>
      </c>
      <c r="F38" s="12" t="s">
        <v>32</v>
      </c>
      <c r="G38" s="12">
        <v>21</v>
      </c>
      <c r="H38" s="12">
        <v>129</v>
      </c>
      <c r="I38" s="15">
        <f>G38/H38</f>
        <v>0.16279069767441862</v>
      </c>
    </row>
    <row r="39" spans="1:9" x14ac:dyDescent="0.3">
      <c r="A39" s="3" t="s">
        <v>29</v>
      </c>
      <c r="B39" s="1">
        <v>20</v>
      </c>
      <c r="C39" s="1">
        <v>128</v>
      </c>
      <c r="D39" s="5">
        <f t="shared" ref="D39:D45" si="0">B39/C39</f>
        <v>0.15625</v>
      </c>
      <c r="F39" s="12" t="s">
        <v>29</v>
      </c>
      <c r="G39" s="12">
        <v>20</v>
      </c>
      <c r="H39" s="12">
        <v>128</v>
      </c>
      <c r="I39" s="15">
        <f t="shared" ref="I39:I45" si="1">G39/H39</f>
        <v>0.15625</v>
      </c>
    </row>
    <row r="40" spans="1:9" x14ac:dyDescent="0.3">
      <c r="A40" s="3" t="s">
        <v>41</v>
      </c>
      <c r="B40" s="1">
        <v>20</v>
      </c>
      <c r="C40" s="1">
        <v>129</v>
      </c>
      <c r="D40" s="5">
        <f t="shared" si="0"/>
        <v>0.15503875968992248</v>
      </c>
      <c r="F40" s="12" t="s">
        <v>41</v>
      </c>
      <c r="G40" s="12">
        <v>20</v>
      </c>
      <c r="H40" s="12">
        <v>129</v>
      </c>
      <c r="I40" s="15">
        <f t="shared" si="1"/>
        <v>0.15503875968992248</v>
      </c>
    </row>
    <row r="41" spans="1:9" x14ac:dyDescent="0.3">
      <c r="A41" s="3" t="s">
        <v>74</v>
      </c>
      <c r="B41" s="1">
        <v>19</v>
      </c>
      <c r="C41" s="1">
        <v>128</v>
      </c>
      <c r="D41" s="5">
        <f t="shared" si="0"/>
        <v>0.1484375</v>
      </c>
      <c r="F41" s="12" t="s">
        <v>74</v>
      </c>
      <c r="G41" s="12">
        <v>19</v>
      </c>
      <c r="H41" s="12">
        <v>128</v>
      </c>
      <c r="I41" s="15">
        <f t="shared" si="1"/>
        <v>0.1484375</v>
      </c>
    </row>
    <row r="42" spans="1:9" x14ac:dyDescent="0.3">
      <c r="A42" s="3" t="s">
        <v>48</v>
      </c>
      <c r="B42" s="1">
        <v>19</v>
      </c>
      <c r="C42" s="1">
        <v>129</v>
      </c>
      <c r="D42" s="5">
        <f t="shared" si="0"/>
        <v>0.14728682170542637</v>
      </c>
      <c r="F42" s="12" t="s">
        <v>48</v>
      </c>
      <c r="G42" s="12">
        <v>19</v>
      </c>
      <c r="H42" s="12">
        <v>129</v>
      </c>
      <c r="I42" s="15">
        <f t="shared" si="1"/>
        <v>0.14728682170542637</v>
      </c>
    </row>
    <row r="43" spans="1:9" x14ac:dyDescent="0.3">
      <c r="A43" s="3" t="s">
        <v>63</v>
      </c>
      <c r="B43" s="1">
        <v>18</v>
      </c>
      <c r="C43" s="1">
        <v>128</v>
      </c>
      <c r="D43" s="5">
        <f t="shared" si="0"/>
        <v>0.140625</v>
      </c>
      <c r="F43" s="12" t="s">
        <v>63</v>
      </c>
      <c r="G43" s="12">
        <v>18</v>
      </c>
      <c r="H43" s="12">
        <v>128</v>
      </c>
      <c r="I43" s="15">
        <f t="shared" si="1"/>
        <v>0.140625</v>
      </c>
    </row>
    <row r="44" spans="1:9" x14ac:dyDescent="0.3">
      <c r="A44" s="3" t="s">
        <v>55</v>
      </c>
      <c r="B44" s="1">
        <v>18</v>
      </c>
      <c r="C44" s="1">
        <v>129</v>
      </c>
      <c r="D44" s="5">
        <f t="shared" si="0"/>
        <v>0.13953488372093023</v>
      </c>
      <c r="F44" s="12" t="s">
        <v>55</v>
      </c>
      <c r="G44" s="12">
        <v>18</v>
      </c>
      <c r="H44" s="12">
        <v>129</v>
      </c>
      <c r="I44" s="15">
        <f t="shared" si="1"/>
        <v>0.13953488372093023</v>
      </c>
    </row>
    <row r="45" spans="1:9" x14ac:dyDescent="0.3">
      <c r="A45" s="3" t="s">
        <v>3128</v>
      </c>
      <c r="B45" s="1">
        <v>135</v>
      </c>
      <c r="C45" s="1">
        <v>900</v>
      </c>
      <c r="D45" s="7">
        <f t="shared" si="0"/>
        <v>0.15</v>
      </c>
      <c r="F45" s="12" t="s">
        <v>3128</v>
      </c>
      <c r="G45" s="12">
        <v>135</v>
      </c>
      <c r="H45" s="12">
        <v>900</v>
      </c>
      <c r="I45" s="15">
        <f t="shared" si="1"/>
        <v>0.15</v>
      </c>
    </row>
    <row r="53" spans="1:9" x14ac:dyDescent="0.3">
      <c r="A53" s="2" t="s">
        <v>3132</v>
      </c>
      <c r="B53" t="s">
        <v>3134</v>
      </c>
      <c r="C53" t="s">
        <v>3131</v>
      </c>
      <c r="D53" s="6" t="s">
        <v>3136</v>
      </c>
      <c r="F53" s="12" t="s">
        <v>3132</v>
      </c>
      <c r="G53" s="12" t="s">
        <v>3134</v>
      </c>
      <c r="H53" s="12" t="s">
        <v>3131</v>
      </c>
      <c r="I53" s="12" t="s">
        <v>3135</v>
      </c>
    </row>
    <row r="54" spans="1:9" x14ac:dyDescent="0.3">
      <c r="A54" s="3" t="s">
        <v>32</v>
      </c>
      <c r="B54" s="1">
        <v>6</v>
      </c>
      <c r="C54" s="1">
        <v>129</v>
      </c>
      <c r="D54" s="5">
        <f>B54/C54</f>
        <v>4.6511627906976744E-2</v>
      </c>
      <c r="F54" s="12" t="s">
        <v>32</v>
      </c>
      <c r="G54" s="12">
        <v>6</v>
      </c>
      <c r="H54" s="12">
        <v>129</v>
      </c>
      <c r="I54" s="12">
        <v>4.6511627906976744E-2</v>
      </c>
    </row>
    <row r="55" spans="1:9" x14ac:dyDescent="0.3">
      <c r="A55" s="3" t="s">
        <v>29</v>
      </c>
      <c r="B55" s="1">
        <v>6</v>
      </c>
      <c r="C55" s="1">
        <v>128</v>
      </c>
      <c r="D55" s="5">
        <f t="shared" ref="D55:D61" si="2">B55/C55</f>
        <v>4.6875E-2</v>
      </c>
      <c r="F55" s="12" t="s">
        <v>29</v>
      </c>
      <c r="G55" s="12">
        <v>6</v>
      </c>
      <c r="H55" s="12">
        <v>128</v>
      </c>
      <c r="I55" s="12">
        <v>4.6875E-2</v>
      </c>
    </row>
    <row r="56" spans="1:9" x14ac:dyDescent="0.3">
      <c r="A56" s="3" t="s">
        <v>63</v>
      </c>
      <c r="B56" s="1">
        <v>6</v>
      </c>
      <c r="C56" s="1">
        <v>128</v>
      </c>
      <c r="D56" s="5">
        <f t="shared" si="2"/>
        <v>4.6875E-2</v>
      </c>
      <c r="F56" s="12" t="s">
        <v>63</v>
      </c>
      <c r="G56" s="12">
        <v>6</v>
      </c>
      <c r="H56" s="12">
        <v>128</v>
      </c>
      <c r="I56" s="12">
        <v>4.6875E-2</v>
      </c>
    </row>
    <row r="57" spans="1:9" x14ac:dyDescent="0.3">
      <c r="A57" s="3" t="s">
        <v>41</v>
      </c>
      <c r="B57" s="1">
        <v>7</v>
      </c>
      <c r="C57" s="1">
        <v>129</v>
      </c>
      <c r="D57" s="5">
        <f t="shared" si="2"/>
        <v>5.4263565891472867E-2</v>
      </c>
      <c r="F57" s="12" t="s">
        <v>41</v>
      </c>
      <c r="G57" s="12">
        <v>7</v>
      </c>
      <c r="H57" s="12">
        <v>129</v>
      </c>
      <c r="I57" s="12">
        <v>5.4263565891472867E-2</v>
      </c>
    </row>
    <row r="58" spans="1:9" x14ac:dyDescent="0.3">
      <c r="A58" s="3" t="s">
        <v>55</v>
      </c>
      <c r="B58" s="1">
        <v>7</v>
      </c>
      <c r="C58" s="1">
        <v>129</v>
      </c>
      <c r="D58" s="5">
        <f t="shared" si="2"/>
        <v>5.4263565891472867E-2</v>
      </c>
      <c r="F58" s="12" t="s">
        <v>55</v>
      </c>
      <c r="G58" s="12">
        <v>7</v>
      </c>
      <c r="H58" s="12">
        <v>129</v>
      </c>
      <c r="I58" s="12">
        <v>5.4263565891472867E-2</v>
      </c>
    </row>
    <row r="59" spans="1:9" x14ac:dyDescent="0.3">
      <c r="A59" s="3" t="s">
        <v>48</v>
      </c>
      <c r="B59" s="1">
        <v>7</v>
      </c>
      <c r="C59" s="1">
        <v>129</v>
      </c>
      <c r="D59" s="5">
        <f t="shared" si="2"/>
        <v>5.4263565891472867E-2</v>
      </c>
      <c r="F59" s="12" t="s">
        <v>48</v>
      </c>
      <c r="G59" s="12">
        <v>7</v>
      </c>
      <c r="H59" s="12">
        <v>129</v>
      </c>
      <c r="I59" s="12">
        <v>5.4263565891472867E-2</v>
      </c>
    </row>
    <row r="60" spans="1:9" x14ac:dyDescent="0.3">
      <c r="A60" s="3" t="s">
        <v>74</v>
      </c>
      <c r="B60" s="1">
        <v>6</v>
      </c>
      <c r="C60" s="1">
        <v>128</v>
      </c>
      <c r="D60" s="5">
        <f t="shared" si="2"/>
        <v>4.6875E-2</v>
      </c>
      <c r="F60" s="12" t="s">
        <v>74</v>
      </c>
      <c r="G60" s="12">
        <v>6</v>
      </c>
      <c r="H60" s="12">
        <v>128</v>
      </c>
      <c r="I60" s="12">
        <v>4.6875E-2</v>
      </c>
    </row>
    <row r="61" spans="1:9" x14ac:dyDescent="0.3">
      <c r="A61" s="3" t="s">
        <v>3128</v>
      </c>
      <c r="B61" s="1">
        <v>45</v>
      </c>
      <c r="C61" s="1">
        <v>900</v>
      </c>
      <c r="D61" s="7">
        <f t="shared" si="2"/>
        <v>0.05</v>
      </c>
      <c r="F61" s="12" t="s">
        <v>3128</v>
      </c>
      <c r="G61" s="12">
        <v>45</v>
      </c>
      <c r="H61" s="12">
        <v>900</v>
      </c>
      <c r="I61" s="12">
        <v>0.05</v>
      </c>
    </row>
    <row r="68" spans="1:9" x14ac:dyDescent="0.3">
      <c r="A68" s="2" t="s">
        <v>3144</v>
      </c>
      <c r="B68" t="s">
        <v>3137</v>
      </c>
      <c r="C68" t="s">
        <v>3138</v>
      </c>
      <c r="D68" s="4" t="s">
        <v>3139</v>
      </c>
    </row>
    <row r="69" spans="1:9" x14ac:dyDescent="0.3">
      <c r="A69" s="3" t="s">
        <v>32</v>
      </c>
      <c r="B69" s="1">
        <v>180</v>
      </c>
      <c r="C69" s="1">
        <v>225</v>
      </c>
      <c r="D69" s="5">
        <f>B69/C69</f>
        <v>0.8</v>
      </c>
      <c r="F69" s="13" t="s">
        <v>3148</v>
      </c>
      <c r="G69" s="13" t="s">
        <v>3137</v>
      </c>
      <c r="H69" s="13" t="s">
        <v>3138</v>
      </c>
      <c r="I69" s="13" t="s">
        <v>3139</v>
      </c>
    </row>
    <row r="70" spans="1:9" x14ac:dyDescent="0.3">
      <c r="A70" s="3" t="s">
        <v>29</v>
      </c>
      <c r="B70" s="1">
        <v>135</v>
      </c>
      <c r="C70" s="1">
        <v>225</v>
      </c>
      <c r="D70" s="5">
        <f t="shared" ref="D70:D73" si="3">B70/C70</f>
        <v>0.6</v>
      </c>
      <c r="F70" s="13" t="s">
        <v>32</v>
      </c>
      <c r="G70" s="13">
        <v>180</v>
      </c>
      <c r="H70" s="13">
        <v>225</v>
      </c>
      <c r="I70" s="13">
        <v>0.8</v>
      </c>
    </row>
    <row r="71" spans="1:9" x14ac:dyDescent="0.3">
      <c r="A71" s="3" t="s">
        <v>41</v>
      </c>
      <c r="B71" s="1">
        <v>180</v>
      </c>
      <c r="C71" s="1">
        <v>225</v>
      </c>
      <c r="D71" s="5">
        <f t="shared" si="3"/>
        <v>0.8</v>
      </c>
      <c r="F71" s="13" t="s">
        <v>29</v>
      </c>
      <c r="G71" s="13">
        <v>135</v>
      </c>
      <c r="H71" s="13">
        <v>225</v>
      </c>
      <c r="I71" s="13">
        <v>0.6</v>
      </c>
    </row>
    <row r="72" spans="1:9" x14ac:dyDescent="0.3">
      <c r="A72" s="3" t="s">
        <v>39</v>
      </c>
      <c r="B72" s="1">
        <v>135</v>
      </c>
      <c r="C72" s="1">
        <v>225</v>
      </c>
      <c r="D72" s="5">
        <f t="shared" si="3"/>
        <v>0.6</v>
      </c>
      <c r="F72" s="13" t="s">
        <v>41</v>
      </c>
      <c r="G72" s="13">
        <v>180</v>
      </c>
      <c r="H72" s="13">
        <v>225</v>
      </c>
      <c r="I72" s="13">
        <v>0.8</v>
      </c>
    </row>
    <row r="73" spans="1:9" x14ac:dyDescent="0.3">
      <c r="A73" s="3" t="s">
        <v>3128</v>
      </c>
      <c r="B73" s="1">
        <v>630</v>
      </c>
      <c r="C73" s="1">
        <v>900</v>
      </c>
      <c r="D73" s="7">
        <f t="shared" si="3"/>
        <v>0.7</v>
      </c>
      <c r="F73" s="13" t="s">
        <v>39</v>
      </c>
      <c r="G73" s="13">
        <v>135</v>
      </c>
      <c r="H73" s="13">
        <v>225</v>
      </c>
      <c r="I73" s="13">
        <v>0.6</v>
      </c>
    </row>
    <row r="74" spans="1:9" x14ac:dyDescent="0.3">
      <c r="F74" s="13" t="s">
        <v>3128</v>
      </c>
      <c r="G74" s="13">
        <v>630</v>
      </c>
      <c r="H74" s="13">
        <v>900</v>
      </c>
      <c r="I74" s="13">
        <v>0.7</v>
      </c>
    </row>
    <row r="85" spans="1:9" x14ac:dyDescent="0.3">
      <c r="A85" s="2" t="s">
        <v>3144</v>
      </c>
      <c r="B85" t="s">
        <v>3141</v>
      </c>
      <c r="C85" t="s">
        <v>3140</v>
      </c>
      <c r="D85" s="6" t="s">
        <v>3142</v>
      </c>
      <c r="F85" s="13" t="s">
        <v>3132</v>
      </c>
      <c r="G85" s="13" t="s">
        <v>3141</v>
      </c>
      <c r="H85" s="13" t="s">
        <v>3140</v>
      </c>
      <c r="I85" s="13" t="s">
        <v>3142</v>
      </c>
    </row>
    <row r="86" spans="1:9" x14ac:dyDescent="0.3">
      <c r="A86" s="3" t="s">
        <v>32</v>
      </c>
      <c r="B86" s="1">
        <v>8701</v>
      </c>
      <c r="C86" s="1">
        <v>180</v>
      </c>
      <c r="D86" s="8">
        <f>B86/C86</f>
        <v>48.338888888888889</v>
      </c>
      <c r="F86" s="13" t="s">
        <v>32</v>
      </c>
      <c r="G86" s="13">
        <v>8701</v>
      </c>
      <c r="H86" s="13">
        <v>180</v>
      </c>
      <c r="I86" s="13">
        <v>48.338888888888889</v>
      </c>
    </row>
    <row r="87" spans="1:9" x14ac:dyDescent="0.3">
      <c r="A87" s="3" t="s">
        <v>29</v>
      </c>
      <c r="B87" s="1">
        <v>0</v>
      </c>
      <c r="C87" s="1">
        <v>135</v>
      </c>
      <c r="D87" s="8">
        <f t="shared" ref="D87:D90" si="4">B87/C87</f>
        <v>0</v>
      </c>
      <c r="F87" s="13" t="s">
        <v>29</v>
      </c>
      <c r="G87" s="13">
        <v>0</v>
      </c>
      <c r="H87" s="13">
        <v>135</v>
      </c>
      <c r="I87" s="13">
        <v>0</v>
      </c>
    </row>
    <row r="88" spans="1:9" x14ac:dyDescent="0.3">
      <c r="A88" s="3" t="s">
        <v>41</v>
      </c>
      <c r="B88" s="1">
        <v>3771</v>
      </c>
      <c r="C88" s="1">
        <v>180</v>
      </c>
      <c r="D88" s="8">
        <f t="shared" si="4"/>
        <v>20.95</v>
      </c>
      <c r="F88" s="13" t="s">
        <v>41</v>
      </c>
      <c r="G88" s="13">
        <v>3771</v>
      </c>
      <c r="H88" s="13">
        <v>180</v>
      </c>
      <c r="I88" s="13">
        <v>20.95</v>
      </c>
    </row>
    <row r="89" spans="1:9" x14ac:dyDescent="0.3">
      <c r="A89" s="3" t="s">
        <v>39</v>
      </c>
      <c r="B89" s="1">
        <v>12430</v>
      </c>
      <c r="C89" s="1">
        <v>135</v>
      </c>
      <c r="D89" s="8">
        <f t="shared" si="4"/>
        <v>92.074074074074076</v>
      </c>
      <c r="F89" s="13" t="s">
        <v>39</v>
      </c>
      <c r="G89" s="13">
        <v>12430</v>
      </c>
      <c r="H89" s="13">
        <v>135</v>
      </c>
      <c r="I89" s="13">
        <v>92.074074074074076</v>
      </c>
    </row>
    <row r="90" spans="1:9" x14ac:dyDescent="0.3">
      <c r="A90" s="3" t="s">
        <v>3128</v>
      </c>
      <c r="B90" s="1">
        <v>24902</v>
      </c>
      <c r="C90" s="1">
        <v>630</v>
      </c>
      <c r="D90" s="11">
        <f t="shared" si="4"/>
        <v>39.526984126984125</v>
      </c>
      <c r="F90" s="13" t="s">
        <v>3128</v>
      </c>
      <c r="G90" s="13">
        <v>24902</v>
      </c>
      <c r="H90" s="13">
        <v>630</v>
      </c>
      <c r="I90" s="13">
        <v>39.526984126984125</v>
      </c>
    </row>
    <row r="101" spans="1:7" x14ac:dyDescent="0.3">
      <c r="A101" s="2" t="s">
        <v>3144</v>
      </c>
      <c r="B101" s="4" t="s">
        <v>3143</v>
      </c>
    </row>
    <row r="102" spans="1:7" x14ac:dyDescent="0.3">
      <c r="A102" s="3" t="s">
        <v>32</v>
      </c>
      <c r="B102" s="9">
        <f>D86*D69</f>
        <v>38.671111111111117</v>
      </c>
      <c r="F102" s="12" t="s">
        <v>3127</v>
      </c>
      <c r="G102" s="12" t="s">
        <v>3143</v>
      </c>
    </row>
    <row r="103" spans="1:7" x14ac:dyDescent="0.3">
      <c r="A103" s="3" t="s">
        <v>29</v>
      </c>
      <c r="B103" s="9">
        <f t="shared" ref="B103:B106" si="5">D87*D70</f>
        <v>0</v>
      </c>
      <c r="F103" s="12" t="s">
        <v>32</v>
      </c>
      <c r="G103" s="12">
        <v>38.671111111111117</v>
      </c>
    </row>
    <row r="104" spans="1:7" x14ac:dyDescent="0.3">
      <c r="A104" s="3" t="s">
        <v>41</v>
      </c>
      <c r="B104" s="9">
        <f t="shared" si="5"/>
        <v>16.760000000000002</v>
      </c>
      <c r="F104" s="12" t="s">
        <v>29</v>
      </c>
      <c r="G104" s="12">
        <v>0</v>
      </c>
    </row>
    <row r="105" spans="1:7" x14ac:dyDescent="0.3">
      <c r="A105" s="3" t="s">
        <v>39</v>
      </c>
      <c r="B105" s="9">
        <f t="shared" si="5"/>
        <v>55.244444444444447</v>
      </c>
      <c r="F105" s="12" t="s">
        <v>41</v>
      </c>
      <c r="G105" s="12">
        <v>16.760000000000002</v>
      </c>
    </row>
    <row r="106" spans="1:7" x14ac:dyDescent="0.3">
      <c r="A106" s="3" t="s">
        <v>3128</v>
      </c>
      <c r="B106" s="10">
        <f t="shared" si="5"/>
        <v>27.668888888888887</v>
      </c>
      <c r="F106" s="12" t="s">
        <v>39</v>
      </c>
      <c r="G106" s="12">
        <v>55.244444444444447</v>
      </c>
    </row>
    <row r="107" spans="1:7" x14ac:dyDescent="0.3">
      <c r="F107" s="12" t="s">
        <v>3128</v>
      </c>
      <c r="G107" s="12">
        <v>27.668888888888887</v>
      </c>
    </row>
    <row r="116" spans="1:2" x14ac:dyDescent="0.3">
      <c r="A116" s="2" t="s">
        <v>3132</v>
      </c>
      <c r="B116" t="s">
        <v>3146</v>
      </c>
    </row>
    <row r="117" spans="1:2" x14ac:dyDescent="0.3">
      <c r="A117" s="3" t="s">
        <v>29</v>
      </c>
      <c r="B117" s="1">
        <v>15962.379999999986</v>
      </c>
    </row>
    <row r="118" spans="1:2" x14ac:dyDescent="0.3">
      <c r="A118" s="3" t="s">
        <v>48</v>
      </c>
      <c r="B118" s="1">
        <v>15858.419999999986</v>
      </c>
    </row>
    <row r="119" spans="1:2" x14ac:dyDescent="0.3">
      <c r="A119" s="3" t="s">
        <v>32</v>
      </c>
      <c r="B119" s="1">
        <v>15506.989999999989</v>
      </c>
    </row>
    <row r="120" spans="1:2" x14ac:dyDescent="0.3">
      <c r="A120" s="3" t="s">
        <v>55</v>
      </c>
      <c r="B120" s="1">
        <v>15429.149999999994</v>
      </c>
    </row>
    <row r="121" spans="1:2" x14ac:dyDescent="0.3">
      <c r="A121" s="3" t="s">
        <v>41</v>
      </c>
      <c r="B121" s="1">
        <v>15267.429999999988</v>
      </c>
    </row>
    <row r="122" spans="1:2" x14ac:dyDescent="0.3">
      <c r="A122" s="3" t="s">
        <v>63</v>
      </c>
      <c r="B122" s="1">
        <v>15187.029999999997</v>
      </c>
    </row>
    <row r="123" spans="1:2" x14ac:dyDescent="0.3">
      <c r="A123" s="3" t="s">
        <v>74</v>
      </c>
      <c r="B123" s="1">
        <v>14826.25</v>
      </c>
    </row>
    <row r="124" spans="1:2" x14ac:dyDescent="0.3">
      <c r="A124" s="3" t="s">
        <v>3128</v>
      </c>
      <c r="B124" s="1">
        <v>108037.64999999994</v>
      </c>
    </row>
    <row r="132" spans="1:2" x14ac:dyDescent="0.3">
      <c r="A132" s="2" t="s">
        <v>3132</v>
      </c>
      <c r="B132" t="s">
        <v>3147</v>
      </c>
    </row>
    <row r="133" spans="1:2" x14ac:dyDescent="0.3">
      <c r="A133" s="3" t="s">
        <v>48</v>
      </c>
      <c r="B133" s="1">
        <v>45.953488372093027</v>
      </c>
    </row>
    <row r="134" spans="1:2" x14ac:dyDescent="0.3">
      <c r="A134" s="3" t="s">
        <v>41</v>
      </c>
      <c r="B134" s="1">
        <v>45.651162790697676</v>
      </c>
    </row>
    <row r="135" spans="1:2" x14ac:dyDescent="0.3">
      <c r="A135" s="3" t="s">
        <v>55</v>
      </c>
      <c r="B135" s="1">
        <v>45.558139534883722</v>
      </c>
    </row>
    <row r="136" spans="1:2" x14ac:dyDescent="0.3">
      <c r="A136" s="3" t="s">
        <v>63</v>
      </c>
      <c r="B136" s="1">
        <v>45.5</v>
      </c>
    </row>
    <row r="137" spans="1:2" x14ac:dyDescent="0.3">
      <c r="A137" s="3" t="s">
        <v>29</v>
      </c>
      <c r="B137" s="1">
        <v>45.390625</v>
      </c>
    </row>
    <row r="138" spans="1:2" x14ac:dyDescent="0.3">
      <c r="A138" s="3" t="s">
        <v>32</v>
      </c>
      <c r="B138" s="1">
        <v>45.348837209302324</v>
      </c>
    </row>
    <row r="139" spans="1:2" x14ac:dyDescent="0.3">
      <c r="A139" s="3" t="s">
        <v>74</v>
      </c>
      <c r="B139" s="1">
        <v>45.09375</v>
      </c>
    </row>
    <row r="140" spans="1:2" x14ac:dyDescent="0.3">
      <c r="A140" s="3" t="s">
        <v>3128</v>
      </c>
      <c r="B140" s="1">
        <v>45.5</v>
      </c>
    </row>
  </sheetData>
  <pageMargins left="0.7" right="0.7" top="0.75" bottom="0.75" header="0.3" footer="0.3"/>
  <drawing r:id="rId1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238FA6-0909-4904-8DDC-9D8012B6F2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fact_reserva</vt:lpstr>
      <vt:lpstr>Dashboards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andres retana arce</dc:creator>
  <cp:lastModifiedBy>dylan andres retana arce</cp:lastModifiedBy>
  <dcterms:created xsi:type="dcterms:W3CDTF">2026-04-22T19:54:20Z</dcterms:created>
  <dcterms:modified xsi:type="dcterms:W3CDTF">2026-04-22T21:59:20Z</dcterms:modified>
</cp:coreProperties>
</file>